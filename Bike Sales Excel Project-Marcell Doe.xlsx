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2d75ff9e68be219d/Desktop/"/>
    </mc:Choice>
  </mc:AlternateContent>
  <xr:revisionPtr revIDLastSave="525" documentId="8_{2FD6D1C2-56BF-458E-ADA4-D0473355349F}" xr6:coauthVersionLast="47" xr6:coauthVersionMax="47" xr10:uidLastSave="{E7E9ECAF-2C17-4BB4-B4FD-A9A5BF84E51E}"/>
  <bookViews>
    <workbookView xWindow="-110" yWindow="-110" windowWidth="19420" windowHeight="10300" firstSheet="1" activeTab="3" xr2:uid="{00000000-000D-0000-FFFF-FFFF00000000}"/>
  </bookViews>
  <sheets>
    <sheet name="bike_buyers_Raw_Data" sheetId="1" r:id="rId1"/>
    <sheet name="Working sheet" sheetId="2" r:id="rId2"/>
    <sheet name="Pivot Table" sheetId="3" r:id="rId3"/>
    <sheet name="Dashboard" sheetId="4" r:id="rId4"/>
  </sheets>
  <definedNames>
    <definedName name="_xlnm._FilterDatabase" localSheetId="0" hidden="1">bike_buyers_Raw_Data!$A$1:$M$1001</definedName>
    <definedName name="_xlnm._FilterDatabase" localSheetId="1" hidden="1">'Working sheet'!$A$1:$N$1001</definedName>
    <definedName name="Slicer_Education">#N/A</definedName>
    <definedName name="Slicer_Marital_Status">#N/A</definedName>
    <definedName name="Slicer_Region1">#N/A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<sst xmlns="http://schemas.openxmlformats.org/spreadsheetml/2006/main" count="16282" uniqueCount="51">
  <si>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</si>
  <si>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</si>
  <si>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</si>
  <si>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</si>
  <si>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</si>
  <si>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</si>
  <si>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</si>
  <si>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</si>
  <si>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</si>
  <si>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</si>
  <si>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</si>
  <si>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</si>
  <si>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</si>
  <si>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</si>
  <si>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</si>
  <si>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</si>
  <si>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</si>
  <si>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</si>
  <si>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</si>
  <si>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</si>
  <si>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</si>
  <si>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</si>
  <si>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</si>
  <si>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</si>
  <si>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</si>
  <si>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</si>
  <si>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</si>
  <si>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</si>
  <si>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</si>
  <si>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</si>
  <si>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</si>
  <si>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</si>
  <si>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</si>
  <si>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</si>
  <si>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</si>
  <si>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</si>
  <si>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</si>
  <si>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Female</t>
  </si>
  <si>
    <t>Male</t>
  </si>
  <si>
    <t>Single</t>
  </si>
  <si>
    <t>Age Brackets</t>
  </si>
  <si>
    <t>Row Labels</t>
  </si>
  <si>
    <t>Grand Total</t>
  </si>
  <si>
    <t>Average of Income</t>
  </si>
  <si>
    <t>Column Labels</t>
  </si>
  <si>
    <t>Middle Aged</t>
  </si>
  <si>
    <t>Old</t>
  </si>
  <si>
    <t>Adolescent</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</si>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</sst>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E8B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E8B00"/>
      <color rgb="FF0066FF"/>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Project-Marcell Doe.xlsx]Pivot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40481.927710843374</c:v>
                </c:pt>
                <c:pt idx="1">
                  <c:v>38260.869565217392</c:v>
                </c:pt>
              </c:numCache>
            </c:numRef>
          </c:val>
          <c:extLst>
            <c:ext xmlns:c16="http://schemas.microsoft.com/office/drawing/2014/chart" uri="{C3380CC4-5D6E-409C-BE32-E72D297353CC}">
              <c16:uniqueId val="{00000000-F6AD-46D8-B004-662C5479C699}"/>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39135.8024691358</c:v>
                </c:pt>
                <c:pt idx="1">
                  <c:v>46268.656716417907</c:v>
                </c:pt>
              </c:numCache>
            </c:numRef>
          </c:val>
          <c:extLst>
            <c:ext xmlns:c16="http://schemas.microsoft.com/office/drawing/2014/chart" uri="{C3380CC4-5D6E-409C-BE32-E72D297353CC}">
              <c16:uniqueId val="{00000001-F6AD-46D8-B004-662C5479C699}"/>
            </c:ext>
          </c:extLst>
        </c:ser>
        <c:dLbls>
          <c:showLegendKey val="0"/>
          <c:showVal val="0"/>
          <c:showCatName val="0"/>
          <c:showSerName val="0"/>
          <c:showPercent val="0"/>
          <c:showBubbleSize val="0"/>
        </c:dLbls>
        <c:gapWidth val="219"/>
        <c:overlap val="-27"/>
        <c:axId val="37403295"/>
        <c:axId val="37402335"/>
      </c:barChart>
      <c:catAx>
        <c:axId val="37403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2335"/>
        <c:crosses val="autoZero"/>
        <c:auto val="1"/>
        <c:lblAlgn val="ctr"/>
        <c:lblOffset val="100"/>
        <c:noMultiLvlLbl val="0"/>
      </c:catAx>
      <c:valAx>
        <c:axId val="37402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32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Project-Marcell Doe.xlsx]Pivot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83</c:v>
                </c:pt>
                <c:pt idx="1">
                  <c:v>22</c:v>
                </c:pt>
                <c:pt idx="2">
                  <c:v>26</c:v>
                </c:pt>
                <c:pt idx="3">
                  <c:v>6</c:v>
                </c:pt>
                <c:pt idx="4">
                  <c:v>15</c:v>
                </c:pt>
              </c:numCache>
            </c:numRef>
          </c:val>
          <c:smooth val="0"/>
          <c:extLst>
            <c:ext xmlns:c16="http://schemas.microsoft.com/office/drawing/2014/chart" uri="{C3380CC4-5D6E-409C-BE32-E72D297353CC}">
              <c16:uniqueId val="{00000000-603F-47A7-854A-A6A2C601F5DD}"/>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105</c:v>
                </c:pt>
                <c:pt idx="1">
                  <c:v>16</c:v>
                </c:pt>
                <c:pt idx="2">
                  <c:v>14</c:v>
                </c:pt>
                <c:pt idx="3">
                  <c:v>10</c:v>
                </c:pt>
                <c:pt idx="4">
                  <c:v>3</c:v>
                </c:pt>
              </c:numCache>
            </c:numRef>
          </c:val>
          <c:smooth val="0"/>
          <c:extLst>
            <c:ext xmlns:c16="http://schemas.microsoft.com/office/drawing/2014/chart" uri="{C3380CC4-5D6E-409C-BE32-E72D297353CC}">
              <c16:uniqueId val="{00000001-603F-47A7-854A-A6A2C601F5DD}"/>
            </c:ext>
          </c:extLst>
        </c:ser>
        <c:dLbls>
          <c:dLblPos val="t"/>
          <c:showLegendKey val="0"/>
          <c:showVal val="0"/>
          <c:showCatName val="0"/>
          <c:showSerName val="0"/>
          <c:showPercent val="0"/>
          <c:showBubbleSize val="0"/>
        </c:dLbls>
        <c:smooth val="0"/>
        <c:axId val="1268107535"/>
        <c:axId val="1268107055"/>
      </c:lineChart>
      <c:catAx>
        <c:axId val="12681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07055"/>
        <c:crosses val="autoZero"/>
        <c:auto val="1"/>
        <c:lblAlgn val="ctr"/>
        <c:lblOffset val="100"/>
        <c:noMultiLvlLbl val="0"/>
      </c:catAx>
      <c:valAx>
        <c:axId val="126810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0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Project-Marcell Doe.xlsx]Pivot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Aged</c:v>
                </c:pt>
                <c:pt idx="2">
                  <c:v>Old</c:v>
                </c:pt>
              </c:strCache>
            </c:strRef>
          </c:cat>
          <c:val>
            <c:numRef>
              <c:f>'Pivot Table'!$B$41:$B$44</c:f>
              <c:numCache>
                <c:formatCode>General</c:formatCode>
                <c:ptCount val="3"/>
                <c:pt idx="0">
                  <c:v>23</c:v>
                </c:pt>
                <c:pt idx="1">
                  <c:v>96</c:v>
                </c:pt>
                <c:pt idx="2">
                  <c:v>33</c:v>
                </c:pt>
              </c:numCache>
            </c:numRef>
          </c:val>
          <c:smooth val="0"/>
          <c:extLst>
            <c:ext xmlns:c16="http://schemas.microsoft.com/office/drawing/2014/chart" uri="{C3380CC4-5D6E-409C-BE32-E72D297353CC}">
              <c16:uniqueId val="{00000000-2FF8-4766-B221-8112E134BF02}"/>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Aged</c:v>
                </c:pt>
                <c:pt idx="2">
                  <c:v>Old</c:v>
                </c:pt>
              </c:strCache>
            </c:strRef>
          </c:cat>
          <c:val>
            <c:numRef>
              <c:f>'Pivot Table'!$C$41:$C$44</c:f>
              <c:numCache>
                <c:formatCode>General</c:formatCode>
                <c:ptCount val="3"/>
                <c:pt idx="0">
                  <c:v>9</c:v>
                </c:pt>
                <c:pt idx="1">
                  <c:v>127</c:v>
                </c:pt>
                <c:pt idx="2">
                  <c:v>12</c:v>
                </c:pt>
              </c:numCache>
            </c:numRef>
          </c:val>
          <c:smooth val="0"/>
          <c:extLst>
            <c:ext xmlns:c16="http://schemas.microsoft.com/office/drawing/2014/chart" uri="{C3380CC4-5D6E-409C-BE32-E72D297353CC}">
              <c16:uniqueId val="{00000001-2FF8-4766-B221-8112E134BF02}"/>
            </c:ext>
          </c:extLst>
        </c:ser>
        <c:dLbls>
          <c:showLegendKey val="0"/>
          <c:showVal val="0"/>
          <c:showCatName val="0"/>
          <c:showSerName val="0"/>
          <c:showPercent val="0"/>
          <c:showBubbleSize val="0"/>
        </c:dLbls>
        <c:marker val="1"/>
        <c:smooth val="0"/>
        <c:axId val="491165103"/>
        <c:axId val="491167983"/>
      </c:lineChart>
      <c:catAx>
        <c:axId val="49116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167983"/>
        <c:crosses val="autoZero"/>
        <c:auto val="1"/>
        <c:lblAlgn val="ctr"/>
        <c:lblOffset val="100"/>
        <c:noMultiLvlLbl val="0"/>
      </c:catAx>
      <c:valAx>
        <c:axId val="49116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16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Project-Marcell Doe.xlsx]Pivot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Bike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Table'!$B$107:$B$108</c:f>
              <c:strCache>
                <c:ptCount val="1"/>
                <c:pt idx="0">
                  <c:v>No</c:v>
                </c:pt>
              </c:strCache>
            </c:strRef>
          </c:tx>
          <c:spPr>
            <a:solidFill>
              <a:schemeClr val="accent1"/>
            </a:solidFill>
            <a:ln w="19050">
              <a:solidFill>
                <a:schemeClr val="lt1"/>
              </a:solidFill>
            </a:ln>
            <a:effectLst/>
          </c:spPr>
          <c:invertIfNegative val="0"/>
          <c:cat>
            <c:strRef>
              <c:f>'Pivot Table'!$A$109:$A$110</c:f>
              <c:strCache>
                <c:ptCount val="1"/>
                <c:pt idx="0">
                  <c:v>Europe</c:v>
                </c:pt>
              </c:strCache>
            </c:strRef>
          </c:cat>
          <c:val>
            <c:numRef>
              <c:f>'Pivot Table'!$B$109:$B$110</c:f>
              <c:numCache>
                <c:formatCode>General</c:formatCode>
                <c:ptCount val="1"/>
                <c:pt idx="0">
                  <c:v>152</c:v>
                </c:pt>
              </c:numCache>
            </c:numRef>
          </c:val>
          <c:extLst>
            <c:ext xmlns:c16="http://schemas.microsoft.com/office/drawing/2014/chart" uri="{C3380CC4-5D6E-409C-BE32-E72D297353CC}">
              <c16:uniqueId val="{00000000-7756-43CD-B01B-87AE8B346566}"/>
            </c:ext>
          </c:extLst>
        </c:ser>
        <c:ser>
          <c:idx val="1"/>
          <c:order val="1"/>
          <c:tx>
            <c:strRef>
              <c:f>'Pivot Table'!$C$107:$C$108</c:f>
              <c:strCache>
                <c:ptCount val="1"/>
                <c:pt idx="0">
                  <c:v>Yes</c:v>
                </c:pt>
              </c:strCache>
            </c:strRef>
          </c:tx>
          <c:spPr>
            <a:solidFill>
              <a:schemeClr val="accent2"/>
            </a:solidFill>
            <a:ln w="19050">
              <a:solidFill>
                <a:schemeClr val="lt1"/>
              </a:solidFill>
            </a:ln>
            <a:effectLst/>
          </c:spPr>
          <c:invertIfNegative val="0"/>
          <c:cat>
            <c:strRef>
              <c:f>'Pivot Table'!$A$109:$A$110</c:f>
              <c:strCache>
                <c:ptCount val="1"/>
                <c:pt idx="0">
                  <c:v>Europe</c:v>
                </c:pt>
              </c:strCache>
            </c:strRef>
          </c:cat>
          <c:val>
            <c:numRef>
              <c:f>'Pivot Table'!$C$109:$C$110</c:f>
              <c:numCache>
                <c:formatCode>General</c:formatCode>
                <c:ptCount val="1"/>
                <c:pt idx="0">
                  <c:v>148</c:v>
                </c:pt>
              </c:numCache>
            </c:numRef>
          </c:val>
          <c:extLst>
            <c:ext xmlns:c16="http://schemas.microsoft.com/office/drawing/2014/chart" uri="{C3380CC4-5D6E-409C-BE32-E72D297353CC}">
              <c16:uniqueId val="{00000001-7756-43CD-B01B-87AE8B346566}"/>
            </c:ext>
          </c:extLst>
        </c:ser>
        <c:dLbls>
          <c:showLegendKey val="0"/>
          <c:showVal val="0"/>
          <c:showCatName val="0"/>
          <c:showSerName val="0"/>
          <c:showPercent val="0"/>
          <c:showBubbleSize val="0"/>
        </c:dLbls>
        <c:gapWidth val="150"/>
        <c:axId val="523530863"/>
        <c:axId val="523531343"/>
      </c:barChart>
      <c:catAx>
        <c:axId val="5235308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531343"/>
        <c:auto val="1"/>
        <c:lblAlgn val="ctr"/>
        <c:lblOffset val="100"/>
        <c:noMultiLvlLbl val="0"/>
      </c:catAx>
      <c:valAx>
        <c:axId val="523531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530863"/>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Project-Marcell Doe.xlsx]Pivot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40481.927710843374</c:v>
                </c:pt>
                <c:pt idx="1">
                  <c:v>38260.869565217392</c:v>
                </c:pt>
              </c:numCache>
            </c:numRef>
          </c:val>
          <c:extLst>
            <c:ext xmlns:c16="http://schemas.microsoft.com/office/drawing/2014/chart" uri="{C3380CC4-5D6E-409C-BE32-E72D297353CC}">
              <c16:uniqueId val="{00000000-F697-43F8-9BFA-FD8555144215}"/>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39135.8024691358</c:v>
                </c:pt>
                <c:pt idx="1">
                  <c:v>46268.656716417907</c:v>
                </c:pt>
              </c:numCache>
            </c:numRef>
          </c:val>
          <c:extLst>
            <c:ext xmlns:c16="http://schemas.microsoft.com/office/drawing/2014/chart" uri="{C3380CC4-5D6E-409C-BE32-E72D297353CC}">
              <c16:uniqueId val="{00000001-F697-43F8-9BFA-FD8555144215}"/>
            </c:ext>
          </c:extLst>
        </c:ser>
        <c:dLbls>
          <c:showLegendKey val="0"/>
          <c:showVal val="0"/>
          <c:showCatName val="0"/>
          <c:showSerName val="0"/>
          <c:showPercent val="0"/>
          <c:showBubbleSize val="0"/>
        </c:dLbls>
        <c:gapWidth val="219"/>
        <c:overlap val="-27"/>
        <c:axId val="37403295"/>
        <c:axId val="37402335"/>
      </c:barChart>
      <c:catAx>
        <c:axId val="374032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2335"/>
        <c:crosses val="autoZero"/>
        <c:auto val="1"/>
        <c:lblAlgn val="ctr"/>
        <c:lblOffset val="100"/>
        <c:noMultiLvlLbl val="0"/>
      </c:catAx>
      <c:valAx>
        <c:axId val="37402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032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Project-Marcell Doe.xlsx]Pivot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83</c:v>
                </c:pt>
                <c:pt idx="1">
                  <c:v>22</c:v>
                </c:pt>
                <c:pt idx="2">
                  <c:v>26</c:v>
                </c:pt>
                <c:pt idx="3">
                  <c:v>6</c:v>
                </c:pt>
                <c:pt idx="4">
                  <c:v>15</c:v>
                </c:pt>
              </c:numCache>
            </c:numRef>
          </c:val>
          <c:smooth val="0"/>
          <c:extLst>
            <c:ext xmlns:c16="http://schemas.microsoft.com/office/drawing/2014/chart" uri="{C3380CC4-5D6E-409C-BE32-E72D297353CC}">
              <c16:uniqueId val="{00000000-9DF0-428D-B737-1E305C474FC9}"/>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105</c:v>
                </c:pt>
                <c:pt idx="1">
                  <c:v>16</c:v>
                </c:pt>
                <c:pt idx="2">
                  <c:v>14</c:v>
                </c:pt>
                <c:pt idx="3">
                  <c:v>10</c:v>
                </c:pt>
                <c:pt idx="4">
                  <c:v>3</c:v>
                </c:pt>
              </c:numCache>
            </c:numRef>
          </c:val>
          <c:smooth val="0"/>
          <c:extLst>
            <c:ext xmlns:c16="http://schemas.microsoft.com/office/drawing/2014/chart" uri="{C3380CC4-5D6E-409C-BE32-E72D297353CC}">
              <c16:uniqueId val="{00000001-9DF0-428D-B737-1E305C474FC9}"/>
            </c:ext>
          </c:extLst>
        </c:ser>
        <c:dLbls>
          <c:showLegendKey val="0"/>
          <c:showVal val="0"/>
          <c:showCatName val="0"/>
          <c:showSerName val="0"/>
          <c:showPercent val="0"/>
          <c:showBubbleSize val="0"/>
        </c:dLbls>
        <c:marker val="1"/>
        <c:smooth val="0"/>
        <c:axId val="1268107535"/>
        <c:axId val="1268107055"/>
      </c:lineChart>
      <c:catAx>
        <c:axId val="12681075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07055"/>
        <c:crosses val="autoZero"/>
        <c:auto val="1"/>
        <c:lblAlgn val="ctr"/>
        <c:lblOffset val="100"/>
        <c:noMultiLvlLbl val="0"/>
      </c:catAx>
      <c:valAx>
        <c:axId val="126810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810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Project-Marcell Doe.xlsx]Pivot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Aged</c:v>
                </c:pt>
                <c:pt idx="2">
                  <c:v>Old</c:v>
                </c:pt>
              </c:strCache>
            </c:strRef>
          </c:cat>
          <c:val>
            <c:numRef>
              <c:f>'Pivot Table'!$B$41:$B$44</c:f>
              <c:numCache>
                <c:formatCode>General</c:formatCode>
                <c:ptCount val="3"/>
                <c:pt idx="0">
                  <c:v>23</c:v>
                </c:pt>
                <c:pt idx="1">
                  <c:v>96</c:v>
                </c:pt>
                <c:pt idx="2">
                  <c:v>33</c:v>
                </c:pt>
              </c:numCache>
            </c:numRef>
          </c:val>
          <c:smooth val="0"/>
          <c:extLst>
            <c:ext xmlns:c16="http://schemas.microsoft.com/office/drawing/2014/chart" uri="{C3380CC4-5D6E-409C-BE32-E72D297353CC}">
              <c16:uniqueId val="{00000000-C3E6-48F1-AAC1-17A6084B2B65}"/>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Aged</c:v>
                </c:pt>
                <c:pt idx="2">
                  <c:v>Old</c:v>
                </c:pt>
              </c:strCache>
            </c:strRef>
          </c:cat>
          <c:val>
            <c:numRef>
              <c:f>'Pivot Table'!$C$41:$C$44</c:f>
              <c:numCache>
                <c:formatCode>General</c:formatCode>
                <c:ptCount val="3"/>
                <c:pt idx="0">
                  <c:v>9</c:v>
                </c:pt>
                <c:pt idx="1">
                  <c:v>127</c:v>
                </c:pt>
                <c:pt idx="2">
                  <c:v>12</c:v>
                </c:pt>
              </c:numCache>
            </c:numRef>
          </c:val>
          <c:smooth val="0"/>
          <c:extLst>
            <c:ext xmlns:c16="http://schemas.microsoft.com/office/drawing/2014/chart" uri="{C3380CC4-5D6E-409C-BE32-E72D297353CC}">
              <c16:uniqueId val="{00000001-C3E6-48F1-AAC1-17A6084B2B65}"/>
            </c:ext>
          </c:extLst>
        </c:ser>
        <c:dLbls>
          <c:showLegendKey val="0"/>
          <c:showVal val="0"/>
          <c:showCatName val="0"/>
          <c:showSerName val="0"/>
          <c:showPercent val="0"/>
          <c:showBubbleSize val="0"/>
        </c:dLbls>
        <c:marker val="1"/>
        <c:smooth val="0"/>
        <c:axId val="491165103"/>
        <c:axId val="491167983"/>
      </c:lineChart>
      <c:catAx>
        <c:axId val="491165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167983"/>
        <c:crosses val="autoZero"/>
        <c:auto val="1"/>
        <c:lblAlgn val="ctr"/>
        <c:lblOffset val="100"/>
        <c:noMultiLvlLbl val="0"/>
      </c:catAx>
      <c:valAx>
        <c:axId val="491167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165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Excel Project-Marcell Doe.xlsx]Pivot 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Bike Purchases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Table'!$B$107:$B$108</c:f>
              <c:strCache>
                <c:ptCount val="1"/>
                <c:pt idx="0">
                  <c:v>No</c:v>
                </c:pt>
              </c:strCache>
            </c:strRef>
          </c:tx>
          <c:spPr>
            <a:solidFill>
              <a:schemeClr val="accent1"/>
            </a:solidFill>
            <a:ln w="19050">
              <a:solidFill>
                <a:schemeClr val="lt1"/>
              </a:solidFill>
            </a:ln>
            <a:effectLst/>
          </c:spPr>
          <c:invertIfNegative val="0"/>
          <c:cat>
            <c:strRef>
              <c:f>'Pivot Table'!$A$109:$A$110</c:f>
              <c:strCache>
                <c:ptCount val="1"/>
                <c:pt idx="0">
                  <c:v>Europe</c:v>
                </c:pt>
              </c:strCache>
            </c:strRef>
          </c:cat>
          <c:val>
            <c:numRef>
              <c:f>'Pivot Table'!$B$109:$B$110</c:f>
              <c:numCache>
                <c:formatCode>General</c:formatCode>
                <c:ptCount val="1"/>
                <c:pt idx="0">
                  <c:v>152</c:v>
                </c:pt>
              </c:numCache>
            </c:numRef>
          </c:val>
          <c:extLst>
            <c:ext xmlns:c16="http://schemas.microsoft.com/office/drawing/2014/chart" uri="{C3380CC4-5D6E-409C-BE32-E72D297353CC}">
              <c16:uniqueId val="{00000000-6DBE-47F9-9F9A-C34A62E9A5F8}"/>
            </c:ext>
          </c:extLst>
        </c:ser>
        <c:ser>
          <c:idx val="1"/>
          <c:order val="1"/>
          <c:tx>
            <c:strRef>
              <c:f>'Pivot Table'!$C$107:$C$108</c:f>
              <c:strCache>
                <c:ptCount val="1"/>
                <c:pt idx="0">
                  <c:v>Yes</c:v>
                </c:pt>
              </c:strCache>
            </c:strRef>
          </c:tx>
          <c:spPr>
            <a:solidFill>
              <a:schemeClr val="accent2"/>
            </a:solidFill>
            <a:ln w="19050">
              <a:solidFill>
                <a:schemeClr val="lt1"/>
              </a:solidFill>
            </a:ln>
            <a:effectLst/>
          </c:spPr>
          <c:invertIfNegative val="0"/>
          <c:cat>
            <c:strRef>
              <c:f>'Pivot Table'!$A$109:$A$110</c:f>
              <c:strCache>
                <c:ptCount val="1"/>
                <c:pt idx="0">
                  <c:v>Europe</c:v>
                </c:pt>
              </c:strCache>
            </c:strRef>
          </c:cat>
          <c:val>
            <c:numRef>
              <c:f>'Pivot Table'!$C$109:$C$110</c:f>
              <c:numCache>
                <c:formatCode>General</c:formatCode>
                <c:ptCount val="1"/>
                <c:pt idx="0">
                  <c:v>148</c:v>
                </c:pt>
              </c:numCache>
            </c:numRef>
          </c:val>
          <c:extLst>
            <c:ext xmlns:c16="http://schemas.microsoft.com/office/drawing/2014/chart" uri="{C3380CC4-5D6E-409C-BE32-E72D297353CC}">
              <c16:uniqueId val="{00000001-6DBE-47F9-9F9A-C34A62E9A5F8}"/>
            </c:ext>
          </c:extLst>
        </c:ser>
        <c:dLbls>
          <c:showLegendKey val="0"/>
          <c:showVal val="0"/>
          <c:showCatName val="0"/>
          <c:showSerName val="0"/>
          <c:showPercent val="0"/>
          <c:showBubbleSize val="0"/>
        </c:dLbls>
        <c:gapWidth val="150"/>
        <c:axId val="523530863"/>
        <c:axId val="523531343"/>
      </c:barChart>
      <c:catAx>
        <c:axId val="52353086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531343"/>
        <c:crosses val="autoZero"/>
        <c:auto val="1"/>
        <c:lblAlgn val="ctr"/>
        <c:lblOffset val="100"/>
        <c:noMultiLvlLbl val="0"/>
      </c:catAx>
      <c:valAx>
        <c:axId val="523531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5308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25400</xdr:colOff>
      <xdr:row>0</xdr:row>
      <xdr:rowOff>0</xdr:rowOff>
    </xdr:from>
    <xdr:to>
      <xdr:col>12</xdr:col>
      <xdr:colOff>330200</xdr:colOff>
      <xdr:row>14</xdr:row>
      <xdr:rowOff>165100</xdr:rowOff>
    </xdr:to>
    <xdr:graphicFrame macro="">
      <xdr:nvGraphicFramePr>
        <xdr:cNvPr id="2" name="Chart 1">
          <a:extLst>
            <a:ext uri="{FF2B5EF4-FFF2-40B4-BE49-F238E27FC236}">
              <a16:creationId xmlns:a16="http://schemas.microsoft.com/office/drawing/2014/main" id="{72318E5B-F1F7-3789-C057-3158C4678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xdr:colOff>
      <xdr:row>20</xdr:row>
      <xdr:rowOff>0</xdr:rowOff>
    </xdr:from>
    <xdr:to>
      <xdr:col>12</xdr:col>
      <xdr:colOff>314325</xdr:colOff>
      <xdr:row>34</xdr:row>
      <xdr:rowOff>165100</xdr:rowOff>
    </xdr:to>
    <xdr:graphicFrame macro="">
      <xdr:nvGraphicFramePr>
        <xdr:cNvPr id="3" name="Chart 2">
          <a:extLst>
            <a:ext uri="{FF2B5EF4-FFF2-40B4-BE49-F238E27FC236}">
              <a16:creationId xmlns:a16="http://schemas.microsoft.com/office/drawing/2014/main" id="{B6B35ED6-1950-1C3B-40CA-D29265556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600075</xdr:colOff>
      <xdr:row>37</xdr:row>
      <xdr:rowOff>158750</xdr:rowOff>
    </xdr:from>
    <xdr:to>
      <xdr:col>12</xdr:col>
      <xdr:colOff>295275</xdr:colOff>
      <xdr:row>52</xdr:row>
      <xdr:rowOff>139700</xdr:rowOff>
    </xdr:to>
    <xdr:graphicFrame macro="">
      <xdr:nvGraphicFramePr>
        <xdr:cNvPr id="4" name="Chart 3">
          <a:extLst>
            <a:ext uri="{FF2B5EF4-FFF2-40B4-BE49-F238E27FC236}">
              <a16:creationId xmlns:a16="http://schemas.microsoft.com/office/drawing/2014/main" id="{FBC3FFCF-A87E-1F13-9330-5086CC901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261055</xdr:colOff>
      <xdr:row>101</xdr:row>
      <xdr:rowOff>162277</xdr:rowOff>
    </xdr:from>
    <xdr:to>
      <xdr:col>11</xdr:col>
      <xdr:colOff>423333</xdr:colOff>
      <xdr:row>116</xdr:row>
      <xdr:rowOff>153810</xdr:rowOff>
    </xdr:to>
    <xdr:graphicFrame macro="">
      <xdr:nvGraphicFramePr>
        <xdr:cNvPr id="6" name="Chart 5">
          <a:extLst>
            <a:ext uri="{FF2B5EF4-FFF2-40B4-BE49-F238E27FC236}">
              <a16:creationId xmlns:a16="http://schemas.microsoft.com/office/drawing/2014/main" id="{FB7CE505-276D-F2D3-556A-31508EFF9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6</xdr:row>
      <xdr:rowOff>174978</xdr:rowOff>
    </xdr:from>
    <xdr:to>
      <xdr:col>12</xdr:col>
      <xdr:colOff>285044</xdr:colOff>
      <xdr:row>22</xdr:row>
      <xdr:rowOff>0</xdr:rowOff>
    </xdr:to>
    <xdr:graphicFrame macro="">
      <xdr:nvGraphicFramePr>
        <xdr:cNvPr id="2" name="Chart 1">
          <a:extLst>
            <a:ext uri="{FF2B5EF4-FFF2-40B4-BE49-F238E27FC236}">
              <a16:creationId xmlns:a16="http://schemas.microsoft.com/office/drawing/2014/main" id="{CA597ED1-DB56-436E-8350-AF9EB7BA1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22</xdr:row>
      <xdr:rowOff>0</xdr:rowOff>
    </xdr:from>
    <xdr:to>
      <xdr:col>20</xdr:col>
      <xdr:colOff>0</xdr:colOff>
      <xdr:row>37</xdr:row>
      <xdr:rowOff>9478</xdr:rowOff>
    </xdr:to>
    <xdr:graphicFrame macro="">
      <xdr:nvGraphicFramePr>
        <xdr:cNvPr id="3" name="Chart 2">
          <a:extLst>
            <a:ext uri="{FF2B5EF4-FFF2-40B4-BE49-F238E27FC236}">
              <a16:creationId xmlns:a16="http://schemas.microsoft.com/office/drawing/2014/main" id="{C691E923-B116-4C73-994D-A28B887AB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285044</xdr:colOff>
      <xdr:row>6</xdr:row>
      <xdr:rowOff>174978</xdr:rowOff>
    </xdr:from>
    <xdr:to>
      <xdr:col>20</xdr:col>
      <xdr:colOff>0</xdr:colOff>
      <xdr:row>22</xdr:row>
      <xdr:rowOff>0</xdr:rowOff>
    </xdr:to>
    <xdr:graphicFrame macro="">
      <xdr:nvGraphicFramePr>
        <xdr:cNvPr id="4" name="Chart 3">
          <a:extLst>
            <a:ext uri="{FF2B5EF4-FFF2-40B4-BE49-F238E27FC236}">
              <a16:creationId xmlns:a16="http://schemas.microsoft.com/office/drawing/2014/main" id="{0C5756DF-C6C5-464B-8E09-4B8280516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175381</xdr:rowOff>
    </xdr:from>
    <xdr:to>
      <xdr:col>5</xdr:col>
      <xdr:colOff>0</xdr:colOff>
      <xdr:row>22</xdr:row>
      <xdr:rowOff>17638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A76A170-0683-D425-B8DF-A3B9E75BAFC1}"/>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278276"/>
              <a:ext cx="3007895" cy="27833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148168</xdr:rowOff>
    </xdr:from>
    <xdr:to>
      <xdr:col>5</xdr:col>
      <xdr:colOff>2308</xdr:colOff>
      <xdr:row>52</xdr:row>
      <xdr:rowOff>105834</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89DA75E1-167E-47A8-144F-41A4DB3F99A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6581721"/>
              <a:ext cx="3010203" cy="3082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18955</xdr:rowOff>
    </xdr:from>
    <xdr:to>
      <xdr:col>5</xdr:col>
      <xdr:colOff>2308</xdr:colOff>
      <xdr:row>35</xdr:row>
      <xdr:rowOff>158750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AA4DEABC-AF73-DC8C-0BED-6508F6B852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062902"/>
              <a:ext cx="3010203" cy="25294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9477</xdr:colOff>
      <xdr:row>37</xdr:row>
      <xdr:rowOff>10582</xdr:rowOff>
    </xdr:from>
    <xdr:to>
      <xdr:col>20</xdr:col>
      <xdr:colOff>0</xdr:colOff>
      <xdr:row>52</xdr:row>
      <xdr:rowOff>44449</xdr:rowOff>
    </xdr:to>
    <xdr:graphicFrame macro="">
      <xdr:nvGraphicFramePr>
        <xdr:cNvPr id="9" name="Chart 8">
          <a:extLst>
            <a:ext uri="{FF2B5EF4-FFF2-40B4-BE49-F238E27FC236}">
              <a16:creationId xmlns:a16="http://schemas.microsoft.com/office/drawing/2014/main" id="{9C548CF5-0BFC-498B-8BA8-A24BEE858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ell Doe" refreshedDate="45709.961404282411" createdVersion="8" refreshedVersion="8" minRefreshableVersion="3" recordCount="1000" xr:uid="{94363CA7-0FDE-46B0-88A2-26D5A72A9BC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21248256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53F1D9-A429-4F4B-8877-F4CFB9A6C90B}"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7:D110" firstHeaderRow="1" firstDataRow="2" firstDataCol="1"/>
  <pivotFields count="14">
    <pivotField showAll="0"/>
    <pivotField showAll="0"/>
    <pivotField showAll="0"/>
    <pivotField numFmtId="166" showAll="0"/>
    <pivotField showAll="0"/>
    <pivotField showAll="0"/>
    <pivotField showAll="0"/>
    <pivotField showAll="0"/>
    <pivotField showAll="0"/>
    <pivotField showAll="0"/>
    <pivotField axis="axisRow" showAll="0">
      <items count="4">
        <item x="0"/>
        <item h="1" x="2"/>
        <item h="1" x="1"/>
        <item t="default"/>
      </items>
    </pivotField>
    <pivotField showAll="0"/>
    <pivotField showAll="0"/>
    <pivotField axis="axisCol" dataField="1" showAll="0">
      <items count="3">
        <item x="0"/>
        <item x="1"/>
        <item t="default"/>
      </items>
    </pivotField>
  </pivotFields>
  <rowFields count="1">
    <field x="10"/>
  </rowFields>
  <rowItems count="2">
    <i>
      <x/>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2">
          <reference field="4294967294" count="1" selected="0">
            <x v="0"/>
          </reference>
          <reference field="13" count="1" selected="0">
            <x v="0"/>
          </reference>
        </references>
      </pivotArea>
    </chartFormat>
    <chartFormat chart="7"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1EDA40-165B-4827-9315-7A5786E8FC6A}"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0:D9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3"/>
    </i>
    <i>
      <x v="45"/>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C1DC56-A306-4FE9-A435-207B4ACA2291}"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D44"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0EC4D9-ACD0-4CF8-AFB9-1682FE475D21}"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8"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25C5C0-2DCB-4AA0-8E57-9A643431399A}"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8EE1A7A-4A20-4E20-83F2-7081CC37B8F1}" sourceName="Marital Status">
  <pivotTables>
    <pivotTable tabId="3" name="PivotTable1"/>
    <pivotTable tabId="3" name="PivotTable2"/>
    <pivotTable tabId="3" name="PivotTable3"/>
    <pivotTable tabId="3" name="PivotTable4"/>
  </pivotTables>
  <data>
    <tabular pivotCacheId="212482563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B5723A0-721D-4808-8D40-3CEAB2B5822A}" sourceName="Education">
  <pivotTables>
    <pivotTable tabId="3" name="PivotTable1"/>
    <pivotTable tabId="3" name="PivotTable2"/>
    <pivotTable tabId="3" name="PivotTable3"/>
    <pivotTable tabId="3" name="PivotTable4"/>
  </pivotTables>
  <data>
    <tabular pivotCacheId="212482563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42D4A5D-14AC-4F05-AF9D-E5775B37907A}" sourceName="Region">
  <pivotTables>
    <pivotTable tabId="3" name="PivotTable5"/>
    <pivotTable tabId="3" name="PivotTable4"/>
    <pivotTable tabId="3" name="PivotTable3"/>
    <pivotTable tabId="3" name="PivotTable2"/>
    <pivotTable tabId="3" name="PivotTable1"/>
  </pivotTables>
  <data>
    <tabular pivotCacheId="2124825638">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448A009-BEA2-49C8-9DD5-ECABBBF01636}" cache="Slicer_Marital_Status" caption="Marital Status" rowHeight="241300"/>
  <slicer name="Education" xr10:uid="{6949B6FB-D015-462B-A38D-D73CFA9D60F8}" cache="Slicer_Education" caption="Education" rowHeight="241300"/>
  <slicer name="Region" xr10:uid="{B1CE77FE-AF7A-4447-BA08-DC4FACE2E602}" cache="Slicer_Region1"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9" sqref="C9"/>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B284F-CA96-45F3-9671-514D9FA091A0}">
  <dimension ref="A1:N1001"/>
  <sheetViews>
    <sheetView topLeftCell="E1" workbookViewId="0">
      <selection activeCell="M2" sqref="M2"/>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37</v>
      </c>
      <c r="D2" s="3">
        <v>40000</v>
      </c>
      <c r="E2">
        <v>1</v>
      </c>
      <c r="F2" t="s">
        <v>13</v>
      </c>
      <c r="G2" t="s">
        <v>14</v>
      </c>
      <c r="H2" t="s">
        <v>15</v>
      </c>
      <c r="I2">
        <v>0</v>
      </c>
      <c r="J2" t="s">
        <v>16</v>
      </c>
      <c r="K2" t="s">
        <v>17</v>
      </c>
      <c r="L2">
        <v>42</v>
      </c>
      <c r="M2" t="str">
        <f>IF(L2&gt;54,"Old",IF(L2&lt;31,"Adolescent",IF(L2&gt;=31,"Middle Aged","Invalid")))</f>
        <v>Middle Aged</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IF(L3&gt;54,"Old",IF(L3&lt;31,"Adolescent",IF(L3&gt;=31,"Middle Aged","Invalid")))</f>
        <v>Middle Aged</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39</v>
      </c>
      <c r="C5" t="s">
        <v>38</v>
      </c>
      <c r="D5" s="3">
        <v>70000</v>
      </c>
      <c r="E5">
        <v>0</v>
      </c>
      <c r="F5" t="s">
        <v>13</v>
      </c>
      <c r="G5" t="s">
        <v>21</v>
      </c>
      <c r="H5" t="s">
        <v>15</v>
      </c>
      <c r="I5">
        <v>1</v>
      </c>
      <c r="J5" t="s">
        <v>23</v>
      </c>
      <c r="K5" t="s">
        <v>24</v>
      </c>
      <c r="L5">
        <v>41</v>
      </c>
      <c r="M5" t="str">
        <f t="shared" si="0"/>
        <v>Middle Aged</v>
      </c>
      <c r="N5" t="s">
        <v>15</v>
      </c>
    </row>
    <row r="6" spans="1:14" x14ac:dyDescent="0.35">
      <c r="A6">
        <v>25597</v>
      </c>
      <c r="B6" t="s">
        <v>39</v>
      </c>
      <c r="C6" t="s">
        <v>38</v>
      </c>
      <c r="D6" s="3">
        <v>30000</v>
      </c>
      <c r="E6">
        <v>0</v>
      </c>
      <c r="F6" t="s">
        <v>13</v>
      </c>
      <c r="G6" t="s">
        <v>20</v>
      </c>
      <c r="H6" t="s">
        <v>18</v>
      </c>
      <c r="I6">
        <v>0</v>
      </c>
      <c r="J6" t="s">
        <v>16</v>
      </c>
      <c r="K6" t="s">
        <v>17</v>
      </c>
      <c r="L6">
        <v>36</v>
      </c>
      <c r="M6" t="str">
        <f t="shared" si="0"/>
        <v>Middle Aged</v>
      </c>
      <c r="N6" t="s">
        <v>15</v>
      </c>
    </row>
    <row r="7" spans="1:14" x14ac:dyDescent="0.35">
      <c r="A7">
        <v>13507</v>
      </c>
      <c r="B7" t="s">
        <v>36</v>
      </c>
      <c r="C7" t="s">
        <v>37</v>
      </c>
      <c r="D7" s="3">
        <v>10000</v>
      </c>
      <c r="E7">
        <v>2</v>
      </c>
      <c r="F7" t="s">
        <v>19</v>
      </c>
      <c r="G7" t="s">
        <v>25</v>
      </c>
      <c r="H7" t="s">
        <v>15</v>
      </c>
      <c r="I7">
        <v>0</v>
      </c>
      <c r="J7" t="s">
        <v>26</v>
      </c>
      <c r="K7" t="s">
        <v>17</v>
      </c>
      <c r="L7">
        <v>50</v>
      </c>
      <c r="M7" t="str">
        <f t="shared" si="0"/>
        <v>Middle Aged</v>
      </c>
      <c r="N7" t="s">
        <v>18</v>
      </c>
    </row>
    <row r="8" spans="1:14" x14ac:dyDescent="0.35">
      <c r="A8">
        <v>27974</v>
      </c>
      <c r="B8" t="s">
        <v>39</v>
      </c>
      <c r="C8" t="s">
        <v>38</v>
      </c>
      <c r="D8" s="3">
        <v>160000</v>
      </c>
      <c r="E8">
        <v>2</v>
      </c>
      <c r="F8" t="s">
        <v>27</v>
      </c>
      <c r="G8" t="s">
        <v>28</v>
      </c>
      <c r="H8" t="s">
        <v>15</v>
      </c>
      <c r="I8">
        <v>4</v>
      </c>
      <c r="J8" t="s">
        <v>16</v>
      </c>
      <c r="K8" t="s">
        <v>24</v>
      </c>
      <c r="L8">
        <v>33</v>
      </c>
      <c r="M8" t="str">
        <f t="shared" si="0"/>
        <v>Middle Aged</v>
      </c>
      <c r="N8" t="s">
        <v>15</v>
      </c>
    </row>
    <row r="9" spans="1:14" x14ac:dyDescent="0.35">
      <c r="A9">
        <v>19364</v>
      </c>
      <c r="B9" t="s">
        <v>36</v>
      </c>
      <c r="C9" t="s">
        <v>38</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37</v>
      </c>
      <c r="D12" s="3">
        <v>30000</v>
      </c>
      <c r="E12">
        <v>3</v>
      </c>
      <c r="F12" t="s">
        <v>27</v>
      </c>
      <c r="G12" t="s">
        <v>14</v>
      </c>
      <c r="H12" t="s">
        <v>18</v>
      </c>
      <c r="I12">
        <v>2</v>
      </c>
      <c r="J12" t="s">
        <v>26</v>
      </c>
      <c r="K12" t="s">
        <v>24</v>
      </c>
      <c r="L12">
        <v>54</v>
      </c>
      <c r="M12" t="str">
        <f t="shared" si="0"/>
        <v>Middle Aged</v>
      </c>
      <c r="N12" t="s">
        <v>15</v>
      </c>
    </row>
    <row r="13" spans="1:14" x14ac:dyDescent="0.35">
      <c r="A13">
        <v>12697</v>
      </c>
      <c r="B13" t="s">
        <v>39</v>
      </c>
      <c r="C13" t="s">
        <v>37</v>
      </c>
      <c r="D13" s="3">
        <v>90000</v>
      </c>
      <c r="E13">
        <v>0</v>
      </c>
      <c r="F13" t="s">
        <v>13</v>
      </c>
      <c r="G13" t="s">
        <v>21</v>
      </c>
      <c r="H13" t="s">
        <v>18</v>
      </c>
      <c r="I13">
        <v>4</v>
      </c>
      <c r="J13" t="s">
        <v>49</v>
      </c>
      <c r="K13" t="s">
        <v>24</v>
      </c>
      <c r="L13">
        <v>36</v>
      </c>
      <c r="M13" t="str">
        <f t="shared" si="0"/>
        <v>Middle Aged</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5">
      <c r="A16">
        <v>23542</v>
      </c>
      <c r="B16" t="s">
        <v>39</v>
      </c>
      <c r="C16" t="s">
        <v>38</v>
      </c>
      <c r="D16" s="3">
        <v>60000</v>
      </c>
      <c r="E16">
        <v>1</v>
      </c>
      <c r="F16" t="s">
        <v>19</v>
      </c>
      <c r="G16" t="s">
        <v>14</v>
      </c>
      <c r="H16" t="s">
        <v>18</v>
      </c>
      <c r="I16">
        <v>1</v>
      </c>
      <c r="J16" t="s">
        <v>16</v>
      </c>
      <c r="K16" t="s">
        <v>24</v>
      </c>
      <c r="L16">
        <v>45</v>
      </c>
      <c r="M16" t="str">
        <f t="shared" si="0"/>
        <v>Middle Aged</v>
      </c>
      <c r="N16" t="s">
        <v>15</v>
      </c>
    </row>
    <row r="17" spans="1:14" x14ac:dyDescent="0.35">
      <c r="A17">
        <v>20870</v>
      </c>
      <c r="B17" t="s">
        <v>39</v>
      </c>
      <c r="C17" t="s">
        <v>37</v>
      </c>
      <c r="D17" s="3">
        <v>10000</v>
      </c>
      <c r="E17">
        <v>2</v>
      </c>
      <c r="F17" t="s">
        <v>27</v>
      </c>
      <c r="G17" t="s">
        <v>25</v>
      </c>
      <c r="H17" t="s">
        <v>15</v>
      </c>
      <c r="I17">
        <v>1</v>
      </c>
      <c r="J17" t="s">
        <v>16</v>
      </c>
      <c r="K17" t="s">
        <v>17</v>
      </c>
      <c r="L17">
        <v>38</v>
      </c>
      <c r="M17" t="str">
        <f t="shared" si="0"/>
        <v>Middle Aged</v>
      </c>
      <c r="N17" t="s">
        <v>15</v>
      </c>
    </row>
    <row r="18" spans="1:14" x14ac:dyDescent="0.35">
      <c r="A18">
        <v>23316</v>
      </c>
      <c r="B18" t="s">
        <v>39</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37</v>
      </c>
      <c r="D19" s="3">
        <v>30000</v>
      </c>
      <c r="E19">
        <v>1</v>
      </c>
      <c r="F19" t="s">
        <v>13</v>
      </c>
      <c r="G19" t="s">
        <v>20</v>
      </c>
      <c r="H19" t="s">
        <v>15</v>
      </c>
      <c r="I19">
        <v>0</v>
      </c>
      <c r="J19" t="s">
        <v>16</v>
      </c>
      <c r="K19" t="s">
        <v>17</v>
      </c>
      <c r="L19">
        <v>47</v>
      </c>
      <c r="M19" t="str">
        <f t="shared" si="0"/>
        <v>Middle Aged</v>
      </c>
      <c r="N19" t="s">
        <v>18</v>
      </c>
    </row>
    <row r="20" spans="1:14" x14ac:dyDescent="0.35">
      <c r="A20">
        <v>27183</v>
      </c>
      <c r="B20" t="s">
        <v>39</v>
      </c>
      <c r="C20" t="s">
        <v>38</v>
      </c>
      <c r="D20" s="3">
        <v>40000</v>
      </c>
      <c r="E20">
        <v>2</v>
      </c>
      <c r="F20" t="s">
        <v>19</v>
      </c>
      <c r="G20" t="s">
        <v>20</v>
      </c>
      <c r="H20" t="s">
        <v>15</v>
      </c>
      <c r="I20">
        <v>1</v>
      </c>
      <c r="J20" t="s">
        <v>26</v>
      </c>
      <c r="K20" t="s">
        <v>17</v>
      </c>
      <c r="L20">
        <v>35</v>
      </c>
      <c r="M20" t="str">
        <f t="shared" si="0"/>
        <v>Middle Aged</v>
      </c>
      <c r="N20" t="s">
        <v>15</v>
      </c>
    </row>
    <row r="21" spans="1:14" x14ac:dyDescent="0.35">
      <c r="A21">
        <v>25940</v>
      </c>
      <c r="B21" t="s">
        <v>39</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37</v>
      </c>
      <c r="D22" s="3">
        <v>40000</v>
      </c>
      <c r="E22">
        <v>0</v>
      </c>
      <c r="F22" t="s">
        <v>31</v>
      </c>
      <c r="G22" t="s">
        <v>20</v>
      </c>
      <c r="H22" t="s">
        <v>15</v>
      </c>
      <c r="I22">
        <v>0</v>
      </c>
      <c r="J22" t="s">
        <v>16</v>
      </c>
      <c r="K22" t="s">
        <v>17</v>
      </c>
      <c r="L22">
        <v>36</v>
      </c>
      <c r="M22" t="str">
        <f t="shared" si="0"/>
        <v>Middle Aged</v>
      </c>
      <c r="N22" t="s">
        <v>15</v>
      </c>
    </row>
    <row r="23" spans="1:14" x14ac:dyDescent="0.35">
      <c r="A23">
        <v>21564</v>
      </c>
      <c r="B23" t="s">
        <v>39</v>
      </c>
      <c r="C23" t="s">
        <v>37</v>
      </c>
      <c r="D23" s="3">
        <v>80000</v>
      </c>
      <c r="E23">
        <v>0</v>
      </c>
      <c r="F23" t="s">
        <v>13</v>
      </c>
      <c r="G23" t="s">
        <v>21</v>
      </c>
      <c r="H23" t="s">
        <v>15</v>
      </c>
      <c r="I23">
        <v>4</v>
      </c>
      <c r="J23" t="s">
        <v>49</v>
      </c>
      <c r="K23" t="s">
        <v>24</v>
      </c>
      <c r="L23">
        <v>35</v>
      </c>
      <c r="M23" t="str">
        <f t="shared" si="0"/>
        <v>Middle Aged</v>
      </c>
      <c r="N23" t="s">
        <v>18</v>
      </c>
    </row>
    <row r="24" spans="1:14" x14ac:dyDescent="0.35">
      <c r="A24">
        <v>19193</v>
      </c>
      <c r="B24" t="s">
        <v>39</v>
      </c>
      <c r="C24" t="s">
        <v>38</v>
      </c>
      <c r="D24" s="3">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37</v>
      </c>
      <c r="D25" s="3">
        <v>80000</v>
      </c>
      <c r="E25">
        <v>5</v>
      </c>
      <c r="F25" t="s">
        <v>27</v>
      </c>
      <c r="G25" t="s">
        <v>28</v>
      </c>
      <c r="H25" t="s">
        <v>18</v>
      </c>
      <c r="I25">
        <v>3</v>
      </c>
      <c r="J25" t="s">
        <v>23</v>
      </c>
      <c r="K25" t="s">
        <v>17</v>
      </c>
      <c r="L25">
        <v>56</v>
      </c>
      <c r="M25" t="str">
        <f t="shared" si="0"/>
        <v>Old</v>
      </c>
      <c r="N25" t="s">
        <v>18</v>
      </c>
    </row>
    <row r="26" spans="1:14" x14ac:dyDescent="0.35">
      <c r="A26">
        <v>27184</v>
      </c>
      <c r="B26" t="s">
        <v>39</v>
      </c>
      <c r="C26" t="s">
        <v>38</v>
      </c>
      <c r="D26" s="3">
        <v>40000</v>
      </c>
      <c r="E26">
        <v>2</v>
      </c>
      <c r="F26" t="s">
        <v>19</v>
      </c>
      <c r="G26" t="s">
        <v>20</v>
      </c>
      <c r="H26" t="s">
        <v>18</v>
      </c>
      <c r="I26">
        <v>1</v>
      </c>
      <c r="J26" t="s">
        <v>16</v>
      </c>
      <c r="K26" t="s">
        <v>17</v>
      </c>
      <c r="L26">
        <v>34</v>
      </c>
      <c r="M26" t="str">
        <f t="shared" si="0"/>
        <v>Middle Aged</v>
      </c>
      <c r="N26" t="s">
        <v>18</v>
      </c>
    </row>
    <row r="27" spans="1:14" x14ac:dyDescent="0.35">
      <c r="A27">
        <v>12590</v>
      </c>
      <c r="B27" t="s">
        <v>39</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39</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39</v>
      </c>
      <c r="C29" t="s">
        <v>37</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5">
      <c r="A31">
        <v>16466</v>
      </c>
      <c r="B31" t="s">
        <v>39</v>
      </c>
      <c r="C31" t="s">
        <v>37</v>
      </c>
      <c r="D31" s="3">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37</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39</v>
      </c>
      <c r="C34" t="s">
        <v>37</v>
      </c>
      <c r="D34" s="3">
        <v>20000</v>
      </c>
      <c r="E34">
        <v>0</v>
      </c>
      <c r="F34" t="s">
        <v>27</v>
      </c>
      <c r="G34" t="s">
        <v>25</v>
      </c>
      <c r="H34" t="s">
        <v>18</v>
      </c>
      <c r="I34">
        <v>1</v>
      </c>
      <c r="J34" t="s">
        <v>23</v>
      </c>
      <c r="K34" t="s">
        <v>17</v>
      </c>
      <c r="L34">
        <v>31</v>
      </c>
      <c r="M34" t="str">
        <f t="shared" si="0"/>
        <v>Middle Aged</v>
      </c>
      <c r="N34" t="s">
        <v>18</v>
      </c>
    </row>
    <row r="35" spans="1:14" x14ac:dyDescent="0.35">
      <c r="A35">
        <v>18484</v>
      </c>
      <c r="B35" t="s">
        <v>39</v>
      </c>
      <c r="C35" t="s">
        <v>38</v>
      </c>
      <c r="D35" s="3">
        <v>80000</v>
      </c>
      <c r="E35">
        <v>2</v>
      </c>
      <c r="F35" t="s">
        <v>27</v>
      </c>
      <c r="G35" t="s">
        <v>14</v>
      </c>
      <c r="H35" t="s">
        <v>18</v>
      </c>
      <c r="I35">
        <v>2</v>
      </c>
      <c r="J35" t="s">
        <v>26</v>
      </c>
      <c r="K35" t="s">
        <v>24</v>
      </c>
      <c r="L35">
        <v>50</v>
      </c>
      <c r="M35" t="str">
        <f t="shared" si="0"/>
        <v>Middle Aged</v>
      </c>
      <c r="N35" t="s">
        <v>15</v>
      </c>
    </row>
    <row r="36" spans="1:14" x14ac:dyDescent="0.35">
      <c r="A36">
        <v>12291</v>
      </c>
      <c r="B36" t="s">
        <v>39</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39</v>
      </c>
      <c r="C37" t="s">
        <v>37</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37</v>
      </c>
      <c r="D38" s="3">
        <v>10000</v>
      </c>
      <c r="E38">
        <v>2</v>
      </c>
      <c r="F38" t="s">
        <v>19</v>
      </c>
      <c r="G38" t="s">
        <v>25</v>
      </c>
      <c r="H38" t="s">
        <v>15</v>
      </c>
      <c r="I38">
        <v>1</v>
      </c>
      <c r="J38" t="s">
        <v>16</v>
      </c>
      <c r="K38" t="s">
        <v>17</v>
      </c>
      <c r="L38">
        <v>50</v>
      </c>
      <c r="M38" t="str">
        <f t="shared" si="0"/>
        <v>Middle Aged</v>
      </c>
      <c r="N38" t="s">
        <v>15</v>
      </c>
    </row>
    <row r="39" spans="1:14" x14ac:dyDescent="0.35">
      <c r="A39">
        <v>27832</v>
      </c>
      <c r="B39" t="s">
        <v>39</v>
      </c>
      <c r="C39" t="s">
        <v>37</v>
      </c>
      <c r="D39" s="3">
        <v>30000</v>
      </c>
      <c r="E39">
        <v>0</v>
      </c>
      <c r="F39" t="s">
        <v>19</v>
      </c>
      <c r="G39" t="s">
        <v>20</v>
      </c>
      <c r="H39" t="s">
        <v>18</v>
      </c>
      <c r="I39">
        <v>1</v>
      </c>
      <c r="J39" t="s">
        <v>22</v>
      </c>
      <c r="K39" t="s">
        <v>17</v>
      </c>
      <c r="L39">
        <v>30</v>
      </c>
      <c r="M39" t="str">
        <f t="shared" si="0"/>
        <v>Adolescent</v>
      </c>
      <c r="N39" t="s">
        <v>18</v>
      </c>
    </row>
    <row r="40" spans="1:14" x14ac:dyDescent="0.35">
      <c r="A40">
        <v>26863</v>
      </c>
      <c r="B40" t="s">
        <v>39</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39</v>
      </c>
      <c r="C41" t="s">
        <v>37</v>
      </c>
      <c r="D41" s="3">
        <v>10000</v>
      </c>
      <c r="E41">
        <v>4</v>
      </c>
      <c r="F41" t="s">
        <v>29</v>
      </c>
      <c r="G41" t="s">
        <v>25</v>
      </c>
      <c r="H41" t="s">
        <v>15</v>
      </c>
      <c r="I41">
        <v>2</v>
      </c>
      <c r="J41" t="s">
        <v>16</v>
      </c>
      <c r="K41" t="s">
        <v>17</v>
      </c>
      <c r="L41">
        <v>40</v>
      </c>
      <c r="M41" t="str">
        <f t="shared" si="0"/>
        <v>Middle Aged</v>
      </c>
      <c r="N41" t="s">
        <v>15</v>
      </c>
    </row>
    <row r="42" spans="1:14" x14ac:dyDescent="0.35">
      <c r="A42">
        <v>27803</v>
      </c>
      <c r="B42" t="s">
        <v>39</v>
      </c>
      <c r="C42" t="s">
        <v>37</v>
      </c>
      <c r="D42" s="3">
        <v>30000</v>
      </c>
      <c r="E42">
        <v>2</v>
      </c>
      <c r="F42" t="s">
        <v>19</v>
      </c>
      <c r="G42" t="s">
        <v>20</v>
      </c>
      <c r="H42" t="s">
        <v>18</v>
      </c>
      <c r="I42">
        <v>0</v>
      </c>
      <c r="J42" t="s">
        <v>16</v>
      </c>
      <c r="K42" t="s">
        <v>17</v>
      </c>
      <c r="L42">
        <v>43</v>
      </c>
      <c r="M42" t="str">
        <f t="shared" si="0"/>
        <v>Middle Aged</v>
      </c>
      <c r="N42" t="s">
        <v>18</v>
      </c>
    </row>
    <row r="43" spans="1:14" x14ac:dyDescent="0.35">
      <c r="A43">
        <v>14347</v>
      </c>
      <c r="B43" t="s">
        <v>39</v>
      </c>
      <c r="C43" t="s">
        <v>37</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37</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37</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37</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37</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37</v>
      </c>
      <c r="D48" s="3">
        <v>60000</v>
      </c>
      <c r="E48">
        <v>1</v>
      </c>
      <c r="F48" t="s">
        <v>19</v>
      </c>
      <c r="G48" t="s">
        <v>14</v>
      </c>
      <c r="H48" t="s">
        <v>15</v>
      </c>
      <c r="I48">
        <v>1</v>
      </c>
      <c r="J48" t="s">
        <v>23</v>
      </c>
      <c r="K48" t="s">
        <v>24</v>
      </c>
      <c r="L48">
        <v>46</v>
      </c>
      <c r="M48" t="str">
        <f t="shared" si="0"/>
        <v>Middle Aged</v>
      </c>
      <c r="N48" t="s">
        <v>15</v>
      </c>
    </row>
    <row r="49" spans="1:14" x14ac:dyDescent="0.35">
      <c r="A49">
        <v>29097</v>
      </c>
      <c r="B49" t="s">
        <v>39</v>
      </c>
      <c r="C49" t="s">
        <v>37</v>
      </c>
      <c r="D49" s="3">
        <v>40000</v>
      </c>
      <c r="E49">
        <v>2</v>
      </c>
      <c r="F49" t="s">
        <v>19</v>
      </c>
      <c r="G49" t="s">
        <v>14</v>
      </c>
      <c r="H49" t="s">
        <v>15</v>
      </c>
      <c r="I49">
        <v>2</v>
      </c>
      <c r="J49" t="s">
        <v>23</v>
      </c>
      <c r="K49" t="s">
        <v>24</v>
      </c>
      <c r="L49">
        <v>52</v>
      </c>
      <c r="M49" t="str">
        <f t="shared" si="0"/>
        <v>Middle Aged</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5">
      <c r="A51">
        <v>14939</v>
      </c>
      <c r="B51" t="s">
        <v>39</v>
      </c>
      <c r="C51" t="s">
        <v>38</v>
      </c>
      <c r="D51" s="3">
        <v>40000</v>
      </c>
      <c r="E51">
        <v>0</v>
      </c>
      <c r="F51" t="s">
        <v>13</v>
      </c>
      <c r="G51" t="s">
        <v>20</v>
      </c>
      <c r="H51" t="s">
        <v>15</v>
      </c>
      <c r="I51">
        <v>0</v>
      </c>
      <c r="J51" t="s">
        <v>16</v>
      </c>
      <c r="K51" t="s">
        <v>17</v>
      </c>
      <c r="L51">
        <v>39</v>
      </c>
      <c r="M51" t="str">
        <f t="shared" si="0"/>
        <v>Middle Aged</v>
      </c>
      <c r="N51" t="s">
        <v>15</v>
      </c>
    </row>
    <row r="52" spans="1:14" x14ac:dyDescent="0.35">
      <c r="A52">
        <v>13826</v>
      </c>
      <c r="B52" t="s">
        <v>39</v>
      </c>
      <c r="C52" t="s">
        <v>37</v>
      </c>
      <c r="D52" s="3">
        <v>30000</v>
      </c>
      <c r="E52">
        <v>0</v>
      </c>
      <c r="F52" t="s">
        <v>19</v>
      </c>
      <c r="G52" t="s">
        <v>20</v>
      </c>
      <c r="H52" t="s">
        <v>18</v>
      </c>
      <c r="I52">
        <v>1</v>
      </c>
      <c r="J52" t="s">
        <v>16</v>
      </c>
      <c r="K52" t="s">
        <v>17</v>
      </c>
      <c r="L52">
        <v>28</v>
      </c>
      <c r="M52" t="str">
        <f t="shared" si="0"/>
        <v>Adolescent</v>
      </c>
      <c r="N52" t="s">
        <v>18</v>
      </c>
    </row>
    <row r="53" spans="1:14" x14ac:dyDescent="0.35">
      <c r="A53">
        <v>20619</v>
      </c>
      <c r="B53" t="s">
        <v>39</v>
      </c>
      <c r="C53" t="s">
        <v>38</v>
      </c>
      <c r="D53" s="3">
        <v>80000</v>
      </c>
      <c r="E53">
        <v>0</v>
      </c>
      <c r="F53" t="s">
        <v>13</v>
      </c>
      <c r="G53" t="s">
        <v>21</v>
      </c>
      <c r="H53" t="s">
        <v>18</v>
      </c>
      <c r="I53">
        <v>4</v>
      </c>
      <c r="J53" t="s">
        <v>49</v>
      </c>
      <c r="K53" t="s">
        <v>24</v>
      </c>
      <c r="L53">
        <v>35</v>
      </c>
      <c r="M53" t="str">
        <f t="shared" si="0"/>
        <v>Middle Aged</v>
      </c>
      <c r="N53" t="s">
        <v>18</v>
      </c>
    </row>
    <row r="54" spans="1:14" x14ac:dyDescent="0.35">
      <c r="A54">
        <v>12558</v>
      </c>
      <c r="B54" t="s">
        <v>36</v>
      </c>
      <c r="C54" t="s">
        <v>37</v>
      </c>
      <c r="D54" s="3">
        <v>20000</v>
      </c>
      <c r="E54">
        <v>1</v>
      </c>
      <c r="F54" t="s">
        <v>13</v>
      </c>
      <c r="G54" t="s">
        <v>20</v>
      </c>
      <c r="H54" t="s">
        <v>15</v>
      </c>
      <c r="I54">
        <v>0</v>
      </c>
      <c r="J54" t="s">
        <v>16</v>
      </c>
      <c r="K54" t="s">
        <v>17</v>
      </c>
      <c r="L54">
        <v>65</v>
      </c>
      <c r="M54" t="str">
        <f t="shared" si="0"/>
        <v>Old</v>
      </c>
      <c r="N54" t="s">
        <v>18</v>
      </c>
    </row>
    <row r="55" spans="1:14" x14ac:dyDescent="0.35">
      <c r="A55">
        <v>24871</v>
      </c>
      <c r="B55" t="s">
        <v>39</v>
      </c>
      <c r="C55" t="s">
        <v>37</v>
      </c>
      <c r="D55" s="3">
        <v>90000</v>
      </c>
      <c r="E55">
        <v>4</v>
      </c>
      <c r="F55" t="s">
        <v>27</v>
      </c>
      <c r="G55" t="s">
        <v>28</v>
      </c>
      <c r="H55" t="s">
        <v>18</v>
      </c>
      <c r="I55">
        <v>3</v>
      </c>
      <c r="J55" t="s">
        <v>23</v>
      </c>
      <c r="K55" t="s">
        <v>17</v>
      </c>
      <c r="L55">
        <v>56</v>
      </c>
      <c r="M55" t="str">
        <f t="shared" si="0"/>
        <v>Old</v>
      </c>
      <c r="N55" t="s">
        <v>18</v>
      </c>
    </row>
    <row r="56" spans="1:14" x14ac:dyDescent="0.35">
      <c r="A56">
        <v>17319</v>
      </c>
      <c r="B56" t="s">
        <v>39</v>
      </c>
      <c r="C56" t="s">
        <v>37</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38</v>
      </c>
      <c r="D57" s="3">
        <v>80000</v>
      </c>
      <c r="E57">
        <v>4</v>
      </c>
      <c r="F57" t="s">
        <v>27</v>
      </c>
      <c r="G57" t="s">
        <v>21</v>
      </c>
      <c r="H57" t="s">
        <v>15</v>
      </c>
      <c r="I57">
        <v>2</v>
      </c>
      <c r="J57" t="s">
        <v>49</v>
      </c>
      <c r="K57" t="s">
        <v>17</v>
      </c>
      <c r="L57">
        <v>54</v>
      </c>
      <c r="M57" t="str">
        <f t="shared" si="0"/>
        <v>Middle Aged</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37</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5">
      <c r="A62">
        <v>24185</v>
      </c>
      <c r="B62" t="s">
        <v>39</v>
      </c>
      <c r="C62" t="s">
        <v>37</v>
      </c>
      <c r="D62" s="3">
        <v>10000</v>
      </c>
      <c r="E62">
        <v>1</v>
      </c>
      <c r="F62" t="s">
        <v>27</v>
      </c>
      <c r="G62" t="s">
        <v>25</v>
      </c>
      <c r="H62" t="s">
        <v>18</v>
      </c>
      <c r="I62">
        <v>1</v>
      </c>
      <c r="J62" t="s">
        <v>26</v>
      </c>
      <c r="K62" t="s">
        <v>17</v>
      </c>
      <c r="L62">
        <v>45</v>
      </c>
      <c r="M62" t="str">
        <f t="shared" si="0"/>
        <v>Middle Aged</v>
      </c>
      <c r="N62" t="s">
        <v>18</v>
      </c>
    </row>
    <row r="63" spans="1:14" x14ac:dyDescent="0.35">
      <c r="A63">
        <v>19291</v>
      </c>
      <c r="B63" t="s">
        <v>39</v>
      </c>
      <c r="C63" t="s">
        <v>37</v>
      </c>
      <c r="D63" s="3">
        <v>10000</v>
      </c>
      <c r="E63">
        <v>2</v>
      </c>
      <c r="F63" t="s">
        <v>27</v>
      </c>
      <c r="G63" t="s">
        <v>25</v>
      </c>
      <c r="H63" t="s">
        <v>15</v>
      </c>
      <c r="I63">
        <v>0</v>
      </c>
      <c r="J63" t="s">
        <v>16</v>
      </c>
      <c r="K63" t="s">
        <v>17</v>
      </c>
      <c r="L63">
        <v>35</v>
      </c>
      <c r="M63" t="str">
        <f t="shared" si="0"/>
        <v>Middle Aged</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5">
      <c r="A65">
        <v>16185</v>
      </c>
      <c r="B65" t="s">
        <v>39</v>
      </c>
      <c r="C65" t="s">
        <v>38</v>
      </c>
      <c r="D65" s="3">
        <v>60000</v>
      </c>
      <c r="E65">
        <v>4</v>
      </c>
      <c r="F65" t="s">
        <v>13</v>
      </c>
      <c r="G65" t="s">
        <v>21</v>
      </c>
      <c r="H65" t="s">
        <v>15</v>
      </c>
      <c r="I65">
        <v>3</v>
      </c>
      <c r="J65" t="s">
        <v>49</v>
      </c>
      <c r="K65" t="s">
        <v>24</v>
      </c>
      <c r="L65">
        <v>41</v>
      </c>
      <c r="M65" t="str">
        <f t="shared" si="0"/>
        <v>Middle Aged</v>
      </c>
      <c r="N65" t="s">
        <v>18</v>
      </c>
    </row>
    <row r="66" spans="1:14" x14ac:dyDescent="0.35">
      <c r="A66">
        <v>14927</v>
      </c>
      <c r="B66" t="s">
        <v>36</v>
      </c>
      <c r="C66" t="s">
        <v>37</v>
      </c>
      <c r="D66" s="3">
        <v>30000</v>
      </c>
      <c r="E66">
        <v>1</v>
      </c>
      <c r="F66" t="s">
        <v>13</v>
      </c>
      <c r="G66" t="s">
        <v>20</v>
      </c>
      <c r="H66" t="s">
        <v>15</v>
      </c>
      <c r="I66">
        <v>0</v>
      </c>
      <c r="J66" t="s">
        <v>16</v>
      </c>
      <c r="K66" t="s">
        <v>17</v>
      </c>
      <c r="L66">
        <v>37</v>
      </c>
      <c r="M66" t="str">
        <f t="shared" si="0"/>
        <v>Middle Aged</v>
      </c>
      <c r="N66" t="s">
        <v>15</v>
      </c>
    </row>
    <row r="67" spans="1:14" x14ac:dyDescent="0.35">
      <c r="A67">
        <v>29337</v>
      </c>
      <c r="B67" t="s">
        <v>39</v>
      </c>
      <c r="C67" t="s">
        <v>38</v>
      </c>
      <c r="D67" s="3">
        <v>30000</v>
      </c>
      <c r="E67">
        <v>2</v>
      </c>
      <c r="F67" t="s">
        <v>19</v>
      </c>
      <c r="G67" t="s">
        <v>20</v>
      </c>
      <c r="H67" t="s">
        <v>15</v>
      </c>
      <c r="I67">
        <v>2</v>
      </c>
      <c r="J67" t="s">
        <v>23</v>
      </c>
      <c r="K67" t="s">
        <v>24</v>
      </c>
      <c r="L67">
        <v>68</v>
      </c>
      <c r="M67" t="str">
        <f t="shared" ref="M67:M130" si="1">IF(L67&gt;54,"Old",IF(L67&lt;31,"Adolescent",IF(L67&gt;=31,"Middle Aged","Invalid")))</f>
        <v>Old</v>
      </c>
      <c r="N67" t="s">
        <v>18</v>
      </c>
    </row>
    <row r="68" spans="1:14" x14ac:dyDescent="0.35">
      <c r="A68">
        <v>29355</v>
      </c>
      <c r="B68" t="s">
        <v>36</v>
      </c>
      <c r="C68" t="s">
        <v>37</v>
      </c>
      <c r="D68" s="3">
        <v>40000</v>
      </c>
      <c r="E68">
        <v>0</v>
      </c>
      <c r="F68" t="s">
        <v>31</v>
      </c>
      <c r="G68" t="s">
        <v>20</v>
      </c>
      <c r="H68" t="s">
        <v>15</v>
      </c>
      <c r="I68">
        <v>0</v>
      </c>
      <c r="J68" t="s">
        <v>16</v>
      </c>
      <c r="K68" t="s">
        <v>17</v>
      </c>
      <c r="L68">
        <v>37</v>
      </c>
      <c r="M68" t="str">
        <f t="shared" si="1"/>
        <v>Middle Aged</v>
      </c>
      <c r="N68" t="s">
        <v>15</v>
      </c>
    </row>
    <row r="69" spans="1:14" x14ac:dyDescent="0.35">
      <c r="A69">
        <v>25303</v>
      </c>
      <c r="B69" t="s">
        <v>39</v>
      </c>
      <c r="C69" t="s">
        <v>38</v>
      </c>
      <c r="D69" s="3">
        <v>30000</v>
      </c>
      <c r="E69">
        <v>0</v>
      </c>
      <c r="F69" t="s">
        <v>27</v>
      </c>
      <c r="G69" t="s">
        <v>25</v>
      </c>
      <c r="H69" t="s">
        <v>15</v>
      </c>
      <c r="I69">
        <v>1</v>
      </c>
      <c r="J69" t="s">
        <v>22</v>
      </c>
      <c r="K69" t="s">
        <v>17</v>
      </c>
      <c r="L69">
        <v>33</v>
      </c>
      <c r="M69" t="str">
        <f t="shared" si="1"/>
        <v>Middle Aged</v>
      </c>
      <c r="N69" t="s">
        <v>15</v>
      </c>
    </row>
    <row r="70" spans="1:14" x14ac:dyDescent="0.35">
      <c r="A70">
        <v>14813</v>
      </c>
      <c r="B70" t="s">
        <v>39</v>
      </c>
      <c r="C70" t="s">
        <v>37</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37</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49</v>
      </c>
      <c r="K72" t="s">
        <v>24</v>
      </c>
      <c r="L72">
        <v>36</v>
      </c>
      <c r="M72" t="str">
        <f t="shared" si="1"/>
        <v>Middle Aged</v>
      </c>
      <c r="N72" t="s">
        <v>15</v>
      </c>
    </row>
    <row r="73" spans="1:14" x14ac:dyDescent="0.35">
      <c r="A73">
        <v>16200</v>
      </c>
      <c r="B73" t="s">
        <v>39</v>
      </c>
      <c r="C73" t="s">
        <v>37</v>
      </c>
      <c r="D73" s="3">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37</v>
      </c>
      <c r="D74" s="3">
        <v>130000</v>
      </c>
      <c r="E74">
        <v>3</v>
      </c>
      <c r="F74" t="s">
        <v>27</v>
      </c>
      <c r="G74" t="s">
        <v>21</v>
      </c>
      <c r="H74" t="s">
        <v>15</v>
      </c>
      <c r="I74">
        <v>4</v>
      </c>
      <c r="J74" t="s">
        <v>16</v>
      </c>
      <c r="K74" t="s">
        <v>17</v>
      </c>
      <c r="L74">
        <v>52</v>
      </c>
      <c r="M74" t="str">
        <f t="shared" si="1"/>
        <v>Middle Aged</v>
      </c>
      <c r="N74" t="s">
        <v>18</v>
      </c>
    </row>
    <row r="75" spans="1:14" x14ac:dyDescent="0.35">
      <c r="A75">
        <v>26956</v>
      </c>
      <c r="B75" t="s">
        <v>39</v>
      </c>
      <c r="C75" t="s">
        <v>37</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37</v>
      </c>
      <c r="D76" s="3">
        <v>20000</v>
      </c>
      <c r="E76">
        <v>3</v>
      </c>
      <c r="F76" t="s">
        <v>27</v>
      </c>
      <c r="G76" t="s">
        <v>14</v>
      </c>
      <c r="H76" t="s">
        <v>18</v>
      </c>
      <c r="I76">
        <v>2</v>
      </c>
      <c r="J76" t="s">
        <v>26</v>
      </c>
      <c r="K76" t="s">
        <v>24</v>
      </c>
      <c r="L76">
        <v>62</v>
      </c>
      <c r="M76" t="str">
        <f t="shared" si="1"/>
        <v>Old</v>
      </c>
      <c r="N76" t="s">
        <v>18</v>
      </c>
    </row>
    <row r="77" spans="1:14" x14ac:dyDescent="0.35">
      <c r="A77">
        <v>12678</v>
      </c>
      <c r="B77" t="s">
        <v>39</v>
      </c>
      <c r="C77" t="s">
        <v>37</v>
      </c>
      <c r="D77" s="3">
        <v>130000</v>
      </c>
      <c r="E77">
        <v>4</v>
      </c>
      <c r="F77" t="s">
        <v>27</v>
      </c>
      <c r="G77" t="s">
        <v>28</v>
      </c>
      <c r="H77" t="s">
        <v>15</v>
      </c>
      <c r="I77">
        <v>4</v>
      </c>
      <c r="J77" t="s">
        <v>16</v>
      </c>
      <c r="K77" t="s">
        <v>24</v>
      </c>
      <c r="L77">
        <v>31</v>
      </c>
      <c r="M77" t="str">
        <f t="shared" si="1"/>
        <v>Middle Aged</v>
      </c>
      <c r="N77" t="s">
        <v>18</v>
      </c>
    </row>
    <row r="78" spans="1:14" x14ac:dyDescent="0.35">
      <c r="A78">
        <v>16188</v>
      </c>
      <c r="B78" t="s">
        <v>39</v>
      </c>
      <c r="C78" t="s">
        <v>37</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49</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5">
      <c r="A81">
        <v>27745</v>
      </c>
      <c r="B81" t="s">
        <v>39</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37</v>
      </c>
      <c r="D82" s="3">
        <v>30000</v>
      </c>
      <c r="E82">
        <v>4</v>
      </c>
      <c r="F82" t="s">
        <v>31</v>
      </c>
      <c r="G82" t="s">
        <v>20</v>
      </c>
      <c r="H82" t="s">
        <v>15</v>
      </c>
      <c r="I82">
        <v>0</v>
      </c>
      <c r="J82" t="s">
        <v>16</v>
      </c>
      <c r="K82" t="s">
        <v>17</v>
      </c>
      <c r="L82">
        <v>45</v>
      </c>
      <c r="M82" t="str">
        <f t="shared" si="1"/>
        <v>Middle Aged</v>
      </c>
      <c r="N82" t="s">
        <v>15</v>
      </c>
    </row>
    <row r="83" spans="1:14" x14ac:dyDescent="0.35">
      <c r="A83">
        <v>19461</v>
      </c>
      <c r="B83" t="s">
        <v>39</v>
      </c>
      <c r="C83" t="s">
        <v>37</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5">
      <c r="A85">
        <v>28412</v>
      </c>
      <c r="B85" t="s">
        <v>39</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39</v>
      </c>
      <c r="C86" t="s">
        <v>38</v>
      </c>
      <c r="D86" s="3">
        <v>40000</v>
      </c>
      <c r="E86">
        <v>2</v>
      </c>
      <c r="F86" t="s">
        <v>13</v>
      </c>
      <c r="G86" t="s">
        <v>28</v>
      </c>
      <c r="H86" t="s">
        <v>18</v>
      </c>
      <c r="I86">
        <v>1</v>
      </c>
      <c r="J86" t="s">
        <v>23</v>
      </c>
      <c r="K86" t="s">
        <v>24</v>
      </c>
      <c r="L86">
        <v>52</v>
      </c>
      <c r="M86" t="str">
        <f t="shared" si="1"/>
        <v>Middle Aged</v>
      </c>
      <c r="N86" t="s">
        <v>15</v>
      </c>
    </row>
    <row r="87" spans="1:14" x14ac:dyDescent="0.35">
      <c r="A87">
        <v>16514</v>
      </c>
      <c r="B87" t="s">
        <v>39</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39</v>
      </c>
      <c r="C88" t="s">
        <v>38</v>
      </c>
      <c r="D88" s="3">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5">
      <c r="A90">
        <v>24119</v>
      </c>
      <c r="B90" t="s">
        <v>39</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5">
      <c r="A92">
        <v>26886</v>
      </c>
      <c r="B92" t="s">
        <v>39</v>
      </c>
      <c r="C92" t="s">
        <v>37</v>
      </c>
      <c r="D92" s="3">
        <v>30000</v>
      </c>
      <c r="E92">
        <v>0</v>
      </c>
      <c r="F92" t="s">
        <v>19</v>
      </c>
      <c r="G92" t="s">
        <v>20</v>
      </c>
      <c r="H92" t="s">
        <v>18</v>
      </c>
      <c r="I92">
        <v>1</v>
      </c>
      <c r="J92" t="s">
        <v>16</v>
      </c>
      <c r="K92" t="s">
        <v>17</v>
      </c>
      <c r="L92">
        <v>29</v>
      </c>
      <c r="M92" t="str">
        <f t="shared" si="1"/>
        <v>Adolescent</v>
      </c>
      <c r="N92" t="s">
        <v>15</v>
      </c>
    </row>
    <row r="93" spans="1:14" x14ac:dyDescent="0.35">
      <c r="A93">
        <v>28436</v>
      </c>
      <c r="B93" t="s">
        <v>39</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39</v>
      </c>
      <c r="C94" t="s">
        <v>37</v>
      </c>
      <c r="D94" s="3">
        <v>60000</v>
      </c>
      <c r="E94">
        <v>2</v>
      </c>
      <c r="F94" t="s">
        <v>13</v>
      </c>
      <c r="G94" t="s">
        <v>21</v>
      </c>
      <c r="H94" t="s">
        <v>15</v>
      </c>
      <c r="I94">
        <v>1</v>
      </c>
      <c r="J94" t="s">
        <v>22</v>
      </c>
      <c r="K94" t="s">
        <v>24</v>
      </c>
      <c r="L94">
        <v>37</v>
      </c>
      <c r="M94" t="str">
        <f t="shared" si="1"/>
        <v>Middle Aged</v>
      </c>
      <c r="N94" t="s">
        <v>15</v>
      </c>
    </row>
    <row r="95" spans="1:14" x14ac:dyDescent="0.35">
      <c r="A95">
        <v>15608</v>
      </c>
      <c r="B95" t="s">
        <v>39</v>
      </c>
      <c r="C95" t="s">
        <v>37</v>
      </c>
      <c r="D95" s="3">
        <v>30000</v>
      </c>
      <c r="E95">
        <v>0</v>
      </c>
      <c r="F95" t="s">
        <v>19</v>
      </c>
      <c r="G95" t="s">
        <v>20</v>
      </c>
      <c r="H95" t="s">
        <v>18</v>
      </c>
      <c r="I95">
        <v>1</v>
      </c>
      <c r="J95" t="s">
        <v>22</v>
      </c>
      <c r="K95" t="s">
        <v>17</v>
      </c>
      <c r="L95">
        <v>33</v>
      </c>
      <c r="M95" t="str">
        <f t="shared" si="1"/>
        <v>Middle Aged</v>
      </c>
      <c r="N95" t="s">
        <v>18</v>
      </c>
    </row>
    <row r="96" spans="1:14" x14ac:dyDescent="0.35">
      <c r="A96">
        <v>16487</v>
      </c>
      <c r="B96" t="s">
        <v>39</v>
      </c>
      <c r="C96" t="s">
        <v>37</v>
      </c>
      <c r="D96" s="3">
        <v>30000</v>
      </c>
      <c r="E96">
        <v>3</v>
      </c>
      <c r="F96" t="s">
        <v>27</v>
      </c>
      <c r="G96" t="s">
        <v>14</v>
      </c>
      <c r="H96" t="s">
        <v>15</v>
      </c>
      <c r="I96">
        <v>2</v>
      </c>
      <c r="J96" t="s">
        <v>23</v>
      </c>
      <c r="K96" t="s">
        <v>24</v>
      </c>
      <c r="L96">
        <v>55</v>
      </c>
      <c r="M96" t="str">
        <f t="shared" si="1"/>
        <v>Old</v>
      </c>
      <c r="N96" t="s">
        <v>18</v>
      </c>
    </row>
    <row r="97" spans="1:14" x14ac:dyDescent="0.35">
      <c r="A97">
        <v>17197</v>
      </c>
      <c r="B97" t="s">
        <v>39</v>
      </c>
      <c r="C97" t="s">
        <v>37</v>
      </c>
      <c r="D97" s="3">
        <v>90000</v>
      </c>
      <c r="E97">
        <v>5</v>
      </c>
      <c r="F97" t="s">
        <v>19</v>
      </c>
      <c r="G97" t="s">
        <v>21</v>
      </c>
      <c r="H97" t="s">
        <v>15</v>
      </c>
      <c r="I97">
        <v>2</v>
      </c>
      <c r="J97" t="s">
        <v>49</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37</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39</v>
      </c>
      <c r="C102" t="s">
        <v>38</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39</v>
      </c>
      <c r="C103" t="s">
        <v>38</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39</v>
      </c>
      <c r="C105" t="s">
        <v>38</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39</v>
      </c>
      <c r="C106" t="s">
        <v>37</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39</v>
      </c>
      <c r="C107" t="s">
        <v>37</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5">
      <c r="A109">
        <v>27494</v>
      </c>
      <c r="B109" t="s">
        <v>39</v>
      </c>
      <c r="C109" t="s">
        <v>37</v>
      </c>
      <c r="D109" s="3">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37</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39</v>
      </c>
      <c r="C111" t="s">
        <v>38</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39</v>
      </c>
      <c r="C112" t="s">
        <v>37</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39</v>
      </c>
      <c r="C113" t="s">
        <v>37</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39</v>
      </c>
      <c r="C114" t="s">
        <v>37</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39</v>
      </c>
      <c r="C115" t="s">
        <v>37</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39</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37</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39</v>
      </c>
      <c r="C119" t="s">
        <v>37</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39</v>
      </c>
      <c r="C121" t="s">
        <v>37</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37</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39</v>
      </c>
      <c r="C124" t="s">
        <v>37</v>
      </c>
      <c r="D124" s="3">
        <v>80000</v>
      </c>
      <c r="E124">
        <v>0</v>
      </c>
      <c r="F124" t="s">
        <v>13</v>
      </c>
      <c r="G124" t="s">
        <v>21</v>
      </c>
      <c r="H124" t="s">
        <v>18</v>
      </c>
      <c r="I124">
        <v>3</v>
      </c>
      <c r="J124" t="s">
        <v>49</v>
      </c>
      <c r="K124" t="s">
        <v>24</v>
      </c>
      <c r="L124">
        <v>31</v>
      </c>
      <c r="M124" t="str">
        <f t="shared" si="1"/>
        <v>Middle Aged</v>
      </c>
      <c r="N124" t="s">
        <v>18</v>
      </c>
    </row>
    <row r="125" spans="1:14" x14ac:dyDescent="0.35">
      <c r="A125">
        <v>23627</v>
      </c>
      <c r="B125" t="s">
        <v>39</v>
      </c>
      <c r="C125" t="s">
        <v>37</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39</v>
      </c>
      <c r="C126" t="s">
        <v>37</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39</v>
      </c>
      <c r="C128" t="s">
        <v>38</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39</v>
      </c>
      <c r="C130" t="s">
        <v>38</v>
      </c>
      <c r="D130" s="3">
        <v>10000</v>
      </c>
      <c r="E130">
        <v>2</v>
      </c>
      <c r="F130" t="s">
        <v>19</v>
      </c>
      <c r="G130" t="s">
        <v>25</v>
      </c>
      <c r="H130" t="s">
        <v>15</v>
      </c>
      <c r="I130">
        <v>1</v>
      </c>
      <c r="J130" t="s">
        <v>16</v>
      </c>
      <c r="K130" t="s">
        <v>17</v>
      </c>
      <c r="L130">
        <v>52</v>
      </c>
      <c r="M130" t="str">
        <f t="shared" si="1"/>
        <v>Middle Aged</v>
      </c>
      <c r="N130" t="s">
        <v>15</v>
      </c>
    </row>
    <row r="131" spans="1:14" x14ac:dyDescent="0.35">
      <c r="A131">
        <v>26818</v>
      </c>
      <c r="B131" t="s">
        <v>39</v>
      </c>
      <c r="C131" t="s">
        <v>38</v>
      </c>
      <c r="D131" s="3">
        <v>10000</v>
      </c>
      <c r="E131">
        <v>3</v>
      </c>
      <c r="F131" t="s">
        <v>27</v>
      </c>
      <c r="G131" t="s">
        <v>25</v>
      </c>
      <c r="H131" t="s">
        <v>15</v>
      </c>
      <c r="I131">
        <v>1</v>
      </c>
      <c r="J131" t="s">
        <v>16</v>
      </c>
      <c r="K131" t="s">
        <v>17</v>
      </c>
      <c r="L131">
        <v>39</v>
      </c>
      <c r="M131" t="str">
        <f t="shared" ref="M131:M194" si="2">IF(L131&gt;54,"Old",IF(L131&lt;31,"Adolescent",IF(L131&gt;=31,"Middle Aged","Invalid")))</f>
        <v>Middle Aged</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39</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39</v>
      </c>
      <c r="C136" t="s">
        <v>37</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5">
      <c r="A138">
        <v>28683</v>
      </c>
      <c r="B138" t="s">
        <v>39</v>
      </c>
      <c r="C138" t="s">
        <v>37</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39</v>
      </c>
      <c r="C139" t="s">
        <v>38</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37</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39</v>
      </c>
      <c r="C141" t="s">
        <v>37</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39</v>
      </c>
      <c r="C142" t="s">
        <v>38</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39</v>
      </c>
      <c r="C143" t="s">
        <v>37</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37</v>
      </c>
      <c r="D145" s="3">
        <v>80000</v>
      </c>
      <c r="E145">
        <v>0</v>
      </c>
      <c r="F145" t="s">
        <v>13</v>
      </c>
      <c r="G145" t="s">
        <v>21</v>
      </c>
      <c r="H145" t="s">
        <v>15</v>
      </c>
      <c r="I145">
        <v>3</v>
      </c>
      <c r="J145" t="s">
        <v>49</v>
      </c>
      <c r="K145" t="s">
        <v>24</v>
      </c>
      <c r="L145">
        <v>32</v>
      </c>
      <c r="M145" t="str">
        <f t="shared" si="2"/>
        <v>Middle Aged</v>
      </c>
      <c r="N145" t="s">
        <v>18</v>
      </c>
    </row>
    <row r="146" spans="1:14" x14ac:dyDescent="0.35">
      <c r="A146">
        <v>20877</v>
      </c>
      <c r="B146" t="s">
        <v>39</v>
      </c>
      <c r="C146" t="s">
        <v>38</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37</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37</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39</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39</v>
      </c>
      <c r="C153" t="s">
        <v>38</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39</v>
      </c>
      <c r="C154" t="s">
        <v>37</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39</v>
      </c>
      <c r="C156" t="s">
        <v>38</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39</v>
      </c>
      <c r="C157" t="s">
        <v>37</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37</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39</v>
      </c>
      <c r="C159" t="s">
        <v>38</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39</v>
      </c>
      <c r="C160" t="s">
        <v>37</v>
      </c>
      <c r="D160" s="3">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37</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39</v>
      </c>
      <c r="C162" t="s">
        <v>37</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37</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39</v>
      </c>
      <c r="C164" t="s">
        <v>37</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39</v>
      </c>
      <c r="C165" t="s">
        <v>38</v>
      </c>
      <c r="D165" s="3">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37</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39</v>
      </c>
      <c r="C168" t="s">
        <v>38</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39</v>
      </c>
      <c r="C169" t="s">
        <v>38</v>
      </c>
      <c r="D169" s="3">
        <v>100000</v>
      </c>
      <c r="E169">
        <v>0</v>
      </c>
      <c r="F169" t="s">
        <v>27</v>
      </c>
      <c r="G169" t="s">
        <v>28</v>
      </c>
      <c r="H169" t="s">
        <v>15</v>
      </c>
      <c r="I169">
        <v>3</v>
      </c>
      <c r="J169" t="s">
        <v>49</v>
      </c>
      <c r="K169" t="s">
        <v>24</v>
      </c>
      <c r="L169">
        <v>35</v>
      </c>
      <c r="M169" t="str">
        <f t="shared" si="2"/>
        <v>Middle Aged</v>
      </c>
      <c r="N169" t="s">
        <v>18</v>
      </c>
    </row>
    <row r="170" spans="1:14" x14ac:dyDescent="0.35">
      <c r="A170">
        <v>14058</v>
      </c>
      <c r="B170" t="s">
        <v>39</v>
      </c>
      <c r="C170" t="s">
        <v>38</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37</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37</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37</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39</v>
      </c>
      <c r="C176" t="s">
        <v>38</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39</v>
      </c>
      <c r="C177" t="s">
        <v>37</v>
      </c>
      <c r="D177" s="3">
        <v>80000</v>
      </c>
      <c r="E177">
        <v>2</v>
      </c>
      <c r="F177" t="s">
        <v>19</v>
      </c>
      <c r="G177" t="s">
        <v>14</v>
      </c>
      <c r="H177" t="s">
        <v>15</v>
      </c>
      <c r="I177">
        <v>2</v>
      </c>
      <c r="J177" t="s">
        <v>23</v>
      </c>
      <c r="K177" t="s">
        <v>24</v>
      </c>
      <c r="L177">
        <v>52</v>
      </c>
      <c r="M177" t="str">
        <f t="shared" si="2"/>
        <v>Middle Aged</v>
      </c>
      <c r="N177" t="s">
        <v>15</v>
      </c>
    </row>
    <row r="178" spans="1:14" x14ac:dyDescent="0.35">
      <c r="A178">
        <v>12253</v>
      </c>
      <c r="B178" t="s">
        <v>39</v>
      </c>
      <c r="C178" t="s">
        <v>37</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39</v>
      </c>
      <c r="C179" t="s">
        <v>37</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38</v>
      </c>
      <c r="D180" s="3">
        <v>160000</v>
      </c>
      <c r="E180">
        <v>4</v>
      </c>
      <c r="F180" t="s">
        <v>19</v>
      </c>
      <c r="G180" t="s">
        <v>21</v>
      </c>
      <c r="H180" t="s">
        <v>18</v>
      </c>
      <c r="I180">
        <v>2</v>
      </c>
      <c r="J180" t="s">
        <v>49</v>
      </c>
      <c r="K180" t="s">
        <v>17</v>
      </c>
      <c r="L180">
        <v>55</v>
      </c>
      <c r="M180" t="str">
        <f t="shared" si="2"/>
        <v>Old</v>
      </c>
      <c r="N180" t="s">
        <v>15</v>
      </c>
    </row>
    <row r="181" spans="1:14" x14ac:dyDescent="0.35">
      <c r="A181">
        <v>12212</v>
      </c>
      <c r="B181" t="s">
        <v>36</v>
      </c>
      <c r="C181" t="s">
        <v>37</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39</v>
      </c>
      <c r="C182" t="s">
        <v>38</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37</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37</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39</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37</v>
      </c>
      <c r="D186" s="3">
        <v>130000</v>
      </c>
      <c r="E186">
        <v>4</v>
      </c>
      <c r="F186" t="s">
        <v>27</v>
      </c>
      <c r="G186" t="s">
        <v>28</v>
      </c>
      <c r="H186" t="s">
        <v>18</v>
      </c>
      <c r="I186">
        <v>4</v>
      </c>
      <c r="J186" t="s">
        <v>49</v>
      </c>
      <c r="K186" t="s">
        <v>17</v>
      </c>
      <c r="L186">
        <v>58</v>
      </c>
      <c r="M186" t="str">
        <f t="shared" si="2"/>
        <v>Old</v>
      </c>
      <c r="N186" t="s">
        <v>18</v>
      </c>
    </row>
    <row r="187" spans="1:14" x14ac:dyDescent="0.35">
      <c r="A187">
        <v>15799</v>
      </c>
      <c r="B187" t="s">
        <v>36</v>
      </c>
      <c r="C187" t="s">
        <v>37</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37</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39</v>
      </c>
      <c r="C189" t="s">
        <v>38</v>
      </c>
      <c r="D189" s="3">
        <v>80000</v>
      </c>
      <c r="E189">
        <v>5</v>
      </c>
      <c r="F189" t="s">
        <v>19</v>
      </c>
      <c r="G189" t="s">
        <v>21</v>
      </c>
      <c r="H189" t="s">
        <v>18</v>
      </c>
      <c r="I189">
        <v>2</v>
      </c>
      <c r="J189" t="s">
        <v>49</v>
      </c>
      <c r="K189" t="s">
        <v>17</v>
      </c>
      <c r="L189">
        <v>59</v>
      </c>
      <c r="M189" t="str">
        <f t="shared" si="2"/>
        <v>Old</v>
      </c>
      <c r="N189" t="s">
        <v>18</v>
      </c>
    </row>
    <row r="190" spans="1:14" x14ac:dyDescent="0.35">
      <c r="A190">
        <v>20606</v>
      </c>
      <c r="B190" t="s">
        <v>36</v>
      </c>
      <c r="C190" t="s">
        <v>37</v>
      </c>
      <c r="D190" s="3">
        <v>70000</v>
      </c>
      <c r="E190">
        <v>0</v>
      </c>
      <c r="F190" t="s">
        <v>13</v>
      </c>
      <c r="G190" t="s">
        <v>21</v>
      </c>
      <c r="H190" t="s">
        <v>15</v>
      </c>
      <c r="I190">
        <v>4</v>
      </c>
      <c r="J190" t="s">
        <v>49</v>
      </c>
      <c r="K190" t="s">
        <v>24</v>
      </c>
      <c r="L190">
        <v>32</v>
      </c>
      <c r="M190" t="str">
        <f t="shared" si="2"/>
        <v>Middle Aged</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39</v>
      </c>
      <c r="C193" t="s">
        <v>38</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39</v>
      </c>
      <c r="C194" t="s">
        <v>37</v>
      </c>
      <c r="D194" s="3">
        <v>80000</v>
      </c>
      <c r="E194">
        <v>5</v>
      </c>
      <c r="F194" t="s">
        <v>13</v>
      </c>
      <c r="G194" t="s">
        <v>28</v>
      </c>
      <c r="H194" t="s">
        <v>15</v>
      </c>
      <c r="I194">
        <v>2</v>
      </c>
      <c r="J194" t="s">
        <v>49</v>
      </c>
      <c r="K194" t="s">
        <v>17</v>
      </c>
      <c r="L194">
        <v>62</v>
      </c>
      <c r="M194" t="str">
        <f t="shared" si="2"/>
        <v>Old</v>
      </c>
      <c r="N194" t="s">
        <v>18</v>
      </c>
    </row>
    <row r="195" spans="1:14" x14ac:dyDescent="0.35">
      <c r="A195">
        <v>26032</v>
      </c>
      <c r="B195" t="s">
        <v>36</v>
      </c>
      <c r="C195" t="s">
        <v>37</v>
      </c>
      <c r="D195" s="3">
        <v>70000</v>
      </c>
      <c r="E195">
        <v>5</v>
      </c>
      <c r="F195" t="s">
        <v>13</v>
      </c>
      <c r="G195" t="s">
        <v>21</v>
      </c>
      <c r="H195" t="s">
        <v>15</v>
      </c>
      <c r="I195">
        <v>4</v>
      </c>
      <c r="J195" t="s">
        <v>49</v>
      </c>
      <c r="K195" t="s">
        <v>24</v>
      </c>
      <c r="L195">
        <v>41</v>
      </c>
      <c r="M195" t="str">
        <f t="shared" ref="M195:M258" si="3">IF(L195&gt;54,"Old",IF(L195&lt;31,"Adolescent",IF(L195&gt;=31,"Middle Aged","Invalid")))</f>
        <v>Middle Aged</v>
      </c>
      <c r="N195" t="s">
        <v>18</v>
      </c>
    </row>
    <row r="196" spans="1:14" x14ac:dyDescent="0.35">
      <c r="A196">
        <v>17843</v>
      </c>
      <c r="B196" t="s">
        <v>39</v>
      </c>
      <c r="C196" t="s">
        <v>37</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39</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39</v>
      </c>
      <c r="C198" t="s">
        <v>37</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39</v>
      </c>
      <c r="C200" t="s">
        <v>37</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39</v>
      </c>
      <c r="C201" t="s">
        <v>38</v>
      </c>
      <c r="D201" s="3">
        <v>80000</v>
      </c>
      <c r="E201">
        <v>0</v>
      </c>
      <c r="F201" t="s">
        <v>13</v>
      </c>
      <c r="G201" t="s">
        <v>21</v>
      </c>
      <c r="H201" t="s">
        <v>18</v>
      </c>
      <c r="I201">
        <v>3</v>
      </c>
      <c r="J201" t="s">
        <v>49</v>
      </c>
      <c r="K201" t="s">
        <v>24</v>
      </c>
      <c r="L201">
        <v>33</v>
      </c>
      <c r="M201" t="str">
        <f t="shared" si="3"/>
        <v>Middle Aged</v>
      </c>
      <c r="N201" t="s">
        <v>15</v>
      </c>
    </row>
    <row r="202" spans="1:14" x14ac:dyDescent="0.35">
      <c r="A202">
        <v>24584</v>
      </c>
      <c r="B202" t="s">
        <v>39</v>
      </c>
      <c r="C202" t="s">
        <v>38</v>
      </c>
      <c r="D202" s="3">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39</v>
      </c>
      <c r="C204" t="s">
        <v>38</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39</v>
      </c>
      <c r="C205" t="s">
        <v>37</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39</v>
      </c>
      <c r="C206" t="s">
        <v>37</v>
      </c>
      <c r="D206" s="3">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39</v>
      </c>
      <c r="C208" t="s">
        <v>38</v>
      </c>
      <c r="D208" s="3">
        <v>90000</v>
      </c>
      <c r="E208">
        <v>5</v>
      </c>
      <c r="F208" t="s">
        <v>19</v>
      </c>
      <c r="G208" t="s">
        <v>21</v>
      </c>
      <c r="H208" t="s">
        <v>18</v>
      </c>
      <c r="I208">
        <v>2</v>
      </c>
      <c r="J208" t="s">
        <v>49</v>
      </c>
      <c r="K208" t="s">
        <v>17</v>
      </c>
      <c r="L208">
        <v>62</v>
      </c>
      <c r="M208" t="str">
        <f t="shared" si="3"/>
        <v>Old</v>
      </c>
      <c r="N208" t="s">
        <v>18</v>
      </c>
    </row>
    <row r="209" spans="1:14" x14ac:dyDescent="0.35">
      <c r="A209">
        <v>28729</v>
      </c>
      <c r="B209" t="s">
        <v>39</v>
      </c>
      <c r="C209" t="s">
        <v>37</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39</v>
      </c>
      <c r="C210" t="s">
        <v>37</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39</v>
      </c>
      <c r="C211" t="s">
        <v>37</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37</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37</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39</v>
      </c>
      <c r="C214" t="s">
        <v>37</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39</v>
      </c>
      <c r="C215" t="s">
        <v>38</v>
      </c>
      <c r="D215" s="3">
        <v>70000</v>
      </c>
      <c r="E215">
        <v>0</v>
      </c>
      <c r="F215" t="s">
        <v>13</v>
      </c>
      <c r="G215" t="s">
        <v>21</v>
      </c>
      <c r="H215" t="s">
        <v>18</v>
      </c>
      <c r="I215">
        <v>4</v>
      </c>
      <c r="J215" t="s">
        <v>49</v>
      </c>
      <c r="K215" t="s">
        <v>24</v>
      </c>
      <c r="L215">
        <v>31</v>
      </c>
      <c r="M215" t="str">
        <f t="shared" si="3"/>
        <v>Middle Aged</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39</v>
      </c>
      <c r="C217" t="s">
        <v>38</v>
      </c>
      <c r="D217" s="3">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5">
      <c r="A219">
        <v>13673</v>
      </c>
      <c r="B219" t="s">
        <v>39</v>
      </c>
      <c r="C219" t="s">
        <v>37</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39</v>
      </c>
      <c r="C220" t="s">
        <v>38</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39</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39</v>
      </c>
      <c r="C223" t="s">
        <v>38</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37</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39</v>
      </c>
      <c r="C225" t="s">
        <v>37</v>
      </c>
      <c r="D225" s="3">
        <v>70000</v>
      </c>
      <c r="E225">
        <v>5</v>
      </c>
      <c r="F225" t="s">
        <v>13</v>
      </c>
      <c r="G225" t="s">
        <v>21</v>
      </c>
      <c r="H225" t="s">
        <v>15</v>
      </c>
      <c r="I225">
        <v>4</v>
      </c>
      <c r="J225" t="s">
        <v>49</v>
      </c>
      <c r="K225" t="s">
        <v>24</v>
      </c>
      <c r="L225">
        <v>39</v>
      </c>
      <c r="M225" t="str">
        <f t="shared" si="3"/>
        <v>Middle Aged</v>
      </c>
      <c r="N225" t="s">
        <v>18</v>
      </c>
    </row>
    <row r="226" spans="1:14" x14ac:dyDescent="0.35">
      <c r="A226">
        <v>19650</v>
      </c>
      <c r="B226" t="s">
        <v>36</v>
      </c>
      <c r="C226" t="s">
        <v>37</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39</v>
      </c>
      <c r="C228" t="s">
        <v>37</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37</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39</v>
      </c>
      <c r="C231" t="s">
        <v>38</v>
      </c>
      <c r="D231" s="3">
        <v>80000</v>
      </c>
      <c r="E231">
        <v>5</v>
      </c>
      <c r="F231" t="s">
        <v>27</v>
      </c>
      <c r="G231" t="s">
        <v>28</v>
      </c>
      <c r="H231" t="s">
        <v>15</v>
      </c>
      <c r="I231">
        <v>3</v>
      </c>
      <c r="J231" t="s">
        <v>49</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49</v>
      </c>
      <c r="K232" t="s">
        <v>17</v>
      </c>
      <c r="L232">
        <v>56</v>
      </c>
      <c r="M232" t="str">
        <f t="shared" si="3"/>
        <v>Old</v>
      </c>
      <c r="N232" t="s">
        <v>18</v>
      </c>
    </row>
    <row r="233" spans="1:14" x14ac:dyDescent="0.35">
      <c r="A233">
        <v>14777</v>
      </c>
      <c r="B233" t="s">
        <v>36</v>
      </c>
      <c r="C233" t="s">
        <v>37</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37</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39</v>
      </c>
      <c r="C236" t="s">
        <v>38</v>
      </c>
      <c r="D236" s="3">
        <v>90000</v>
      </c>
      <c r="E236">
        <v>0</v>
      </c>
      <c r="F236" t="s">
        <v>13</v>
      </c>
      <c r="G236" t="s">
        <v>21</v>
      </c>
      <c r="H236" t="s">
        <v>18</v>
      </c>
      <c r="I236">
        <v>4</v>
      </c>
      <c r="J236" t="s">
        <v>49</v>
      </c>
      <c r="K236" t="s">
        <v>24</v>
      </c>
      <c r="L236">
        <v>35</v>
      </c>
      <c r="M236" t="str">
        <f t="shared" si="3"/>
        <v>Middle Aged</v>
      </c>
      <c r="N236" t="s">
        <v>15</v>
      </c>
    </row>
    <row r="237" spans="1:14" x14ac:dyDescent="0.35">
      <c r="A237">
        <v>11340</v>
      </c>
      <c r="B237" t="s">
        <v>36</v>
      </c>
      <c r="C237" t="s">
        <v>37</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39</v>
      </c>
      <c r="C238" t="s">
        <v>37</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37</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39</v>
      </c>
      <c r="C241" t="s">
        <v>37</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39</v>
      </c>
      <c r="C243" t="s">
        <v>37</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39</v>
      </c>
      <c r="C244" t="s">
        <v>38</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39</v>
      </c>
      <c r="C245" t="s">
        <v>37</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37</v>
      </c>
      <c r="D246" s="3">
        <v>120000</v>
      </c>
      <c r="E246">
        <v>3</v>
      </c>
      <c r="F246" t="s">
        <v>13</v>
      </c>
      <c r="G246" t="s">
        <v>28</v>
      </c>
      <c r="H246" t="s">
        <v>18</v>
      </c>
      <c r="I246">
        <v>2</v>
      </c>
      <c r="J246" t="s">
        <v>49</v>
      </c>
      <c r="K246" t="s">
        <v>17</v>
      </c>
      <c r="L246">
        <v>52</v>
      </c>
      <c r="M246" t="str">
        <f t="shared" si="3"/>
        <v>Middle Aged</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37</v>
      </c>
      <c r="D248" s="3">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37</v>
      </c>
      <c r="D249" s="3">
        <v>100000</v>
      </c>
      <c r="E249">
        <v>0</v>
      </c>
      <c r="F249" t="s">
        <v>27</v>
      </c>
      <c r="G249" t="s">
        <v>28</v>
      </c>
      <c r="H249" t="s">
        <v>15</v>
      </c>
      <c r="I249">
        <v>4</v>
      </c>
      <c r="J249" t="s">
        <v>49</v>
      </c>
      <c r="K249" t="s">
        <v>24</v>
      </c>
      <c r="L249">
        <v>34</v>
      </c>
      <c r="M249" t="str">
        <f t="shared" si="3"/>
        <v>Middle Aged</v>
      </c>
      <c r="N249" t="s">
        <v>15</v>
      </c>
    </row>
    <row r="250" spans="1:14" x14ac:dyDescent="0.35">
      <c r="A250">
        <v>13981</v>
      </c>
      <c r="B250" t="s">
        <v>36</v>
      </c>
      <c r="C250" t="s">
        <v>37</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39</v>
      </c>
      <c r="C251" t="s">
        <v>38</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39</v>
      </c>
      <c r="C254" t="s">
        <v>38</v>
      </c>
      <c r="D254" s="3">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38</v>
      </c>
      <c r="D255" s="3">
        <v>100000</v>
      </c>
      <c r="E255">
        <v>3</v>
      </c>
      <c r="F255" t="s">
        <v>29</v>
      </c>
      <c r="G255" t="s">
        <v>21</v>
      </c>
      <c r="H255" t="s">
        <v>15</v>
      </c>
      <c r="I255">
        <v>0</v>
      </c>
      <c r="J255" t="s">
        <v>49</v>
      </c>
      <c r="K255" t="s">
        <v>17</v>
      </c>
      <c r="L255">
        <v>59</v>
      </c>
      <c r="M255" t="str">
        <f t="shared" si="3"/>
        <v>Old</v>
      </c>
      <c r="N255" t="s">
        <v>15</v>
      </c>
    </row>
    <row r="256" spans="1:14" x14ac:dyDescent="0.35">
      <c r="A256">
        <v>21375</v>
      </c>
      <c r="B256" t="s">
        <v>39</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39</v>
      </c>
      <c r="C257" t="s">
        <v>37</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39</v>
      </c>
      <c r="C259" t="s">
        <v>37</v>
      </c>
      <c r="D259" s="3">
        <v>50000</v>
      </c>
      <c r="E259">
        <v>0</v>
      </c>
      <c r="F259" t="s">
        <v>31</v>
      </c>
      <c r="G259" t="s">
        <v>14</v>
      </c>
      <c r="H259" t="s">
        <v>15</v>
      </c>
      <c r="I259">
        <v>0</v>
      </c>
      <c r="J259" t="s">
        <v>16</v>
      </c>
      <c r="K259" t="s">
        <v>17</v>
      </c>
      <c r="L259">
        <v>36</v>
      </c>
      <c r="M259" t="str">
        <f t="shared" ref="M259:M322" si="4">IF(L259&gt;54,"Old",IF(L259&lt;31,"Adolescent",IF(L259&gt;=31,"Middle Aged","Invalid")))</f>
        <v>Middle Aged</v>
      </c>
      <c r="N259" t="s">
        <v>15</v>
      </c>
    </row>
    <row r="260" spans="1:14" x14ac:dyDescent="0.35">
      <c r="A260">
        <v>14193</v>
      </c>
      <c r="B260" t="s">
        <v>39</v>
      </c>
      <c r="C260" t="s">
        <v>37</v>
      </c>
      <c r="D260" s="3">
        <v>100000</v>
      </c>
      <c r="E260">
        <v>3</v>
      </c>
      <c r="F260" t="s">
        <v>19</v>
      </c>
      <c r="G260" t="s">
        <v>28</v>
      </c>
      <c r="H260" t="s">
        <v>15</v>
      </c>
      <c r="I260">
        <v>4</v>
      </c>
      <c r="J260" t="s">
        <v>49</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39</v>
      </c>
      <c r="C262" t="s">
        <v>37</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37</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37</v>
      </c>
      <c r="D264" s="3">
        <v>10000</v>
      </c>
      <c r="E264">
        <v>2</v>
      </c>
      <c r="F264" t="s">
        <v>19</v>
      </c>
      <c r="G264" t="s">
        <v>25</v>
      </c>
      <c r="H264" t="s">
        <v>15</v>
      </c>
      <c r="I264">
        <v>0</v>
      </c>
      <c r="J264" t="s">
        <v>26</v>
      </c>
      <c r="K264" t="s">
        <v>17</v>
      </c>
      <c r="L264">
        <v>51</v>
      </c>
      <c r="M264" t="str">
        <f t="shared" si="4"/>
        <v>Middle Aged</v>
      </c>
      <c r="N264" t="s">
        <v>18</v>
      </c>
    </row>
    <row r="265" spans="1:14" x14ac:dyDescent="0.35">
      <c r="A265">
        <v>23419</v>
      </c>
      <c r="B265" t="s">
        <v>39</v>
      </c>
      <c r="C265" t="s">
        <v>37</v>
      </c>
      <c r="D265" s="3">
        <v>70000</v>
      </c>
      <c r="E265">
        <v>5</v>
      </c>
      <c r="F265" t="s">
        <v>13</v>
      </c>
      <c r="G265" t="s">
        <v>21</v>
      </c>
      <c r="H265" t="s">
        <v>15</v>
      </c>
      <c r="I265">
        <v>3</v>
      </c>
      <c r="J265" t="s">
        <v>49</v>
      </c>
      <c r="K265" t="s">
        <v>24</v>
      </c>
      <c r="L265">
        <v>39</v>
      </c>
      <c r="M265" t="str">
        <f t="shared" si="4"/>
        <v>Middle Aged</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39</v>
      </c>
      <c r="C267" t="s">
        <v>37</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39</v>
      </c>
      <c r="C268" t="s">
        <v>37</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39</v>
      </c>
      <c r="C269" t="s">
        <v>38</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39</v>
      </c>
      <c r="C271" t="s">
        <v>37</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39</v>
      </c>
      <c r="C272" t="s">
        <v>37</v>
      </c>
      <c r="D272" s="3">
        <v>10000</v>
      </c>
      <c r="E272">
        <v>2</v>
      </c>
      <c r="F272" t="s">
        <v>19</v>
      </c>
      <c r="G272" t="s">
        <v>25</v>
      </c>
      <c r="H272" t="s">
        <v>15</v>
      </c>
      <c r="I272">
        <v>0</v>
      </c>
      <c r="J272" t="s">
        <v>16</v>
      </c>
      <c r="K272" t="s">
        <v>17</v>
      </c>
      <c r="L272">
        <v>51</v>
      </c>
      <c r="M272" t="str">
        <f t="shared" si="4"/>
        <v>Middle Aged</v>
      </c>
      <c r="N272" t="s">
        <v>15</v>
      </c>
    </row>
    <row r="273" spans="1:14" x14ac:dyDescent="0.35">
      <c r="A273">
        <v>25665</v>
      </c>
      <c r="B273" t="s">
        <v>39</v>
      </c>
      <c r="C273" t="s">
        <v>37</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39</v>
      </c>
      <c r="C275" t="s">
        <v>37</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37</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37</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37</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37</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38</v>
      </c>
      <c r="D280" s="3">
        <v>100000</v>
      </c>
      <c r="E280">
        <v>0</v>
      </c>
      <c r="F280" t="s">
        <v>27</v>
      </c>
      <c r="G280" t="s">
        <v>28</v>
      </c>
      <c r="H280" t="s">
        <v>15</v>
      </c>
      <c r="I280">
        <v>3</v>
      </c>
      <c r="J280" t="s">
        <v>49</v>
      </c>
      <c r="K280" t="s">
        <v>24</v>
      </c>
      <c r="L280">
        <v>35</v>
      </c>
      <c r="M280" t="str">
        <f t="shared" si="4"/>
        <v>Middle Aged</v>
      </c>
      <c r="N280" t="s">
        <v>15</v>
      </c>
    </row>
    <row r="281" spans="1:14" x14ac:dyDescent="0.35">
      <c r="A281">
        <v>16390</v>
      </c>
      <c r="B281" t="s">
        <v>39</v>
      </c>
      <c r="C281" t="s">
        <v>38</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39</v>
      </c>
      <c r="C282" t="s">
        <v>37</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39</v>
      </c>
      <c r="C283" t="s">
        <v>38</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39</v>
      </c>
      <c r="C284" t="s">
        <v>38</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37</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39</v>
      </c>
      <c r="C286" t="s">
        <v>38</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37</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39</v>
      </c>
      <c r="C288" t="s">
        <v>37</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39</v>
      </c>
      <c r="C289" t="s">
        <v>37</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5">
      <c r="A292">
        <v>28319</v>
      </c>
      <c r="B292" t="s">
        <v>39</v>
      </c>
      <c r="C292" t="s">
        <v>37</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37</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39</v>
      </c>
      <c r="C295" t="s">
        <v>37</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39</v>
      </c>
      <c r="C296" t="s">
        <v>38</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39</v>
      </c>
      <c r="C297" t="s">
        <v>37</v>
      </c>
      <c r="D297" s="3">
        <v>110000</v>
      </c>
      <c r="E297">
        <v>0</v>
      </c>
      <c r="F297" t="s">
        <v>19</v>
      </c>
      <c r="G297" t="s">
        <v>28</v>
      </c>
      <c r="H297" t="s">
        <v>15</v>
      </c>
      <c r="I297">
        <v>3</v>
      </c>
      <c r="J297" t="s">
        <v>49</v>
      </c>
      <c r="K297" t="s">
        <v>24</v>
      </c>
      <c r="L297">
        <v>32</v>
      </c>
      <c r="M297" t="str">
        <f t="shared" si="4"/>
        <v>Middle Aged</v>
      </c>
      <c r="N297" t="s">
        <v>15</v>
      </c>
    </row>
    <row r="298" spans="1:14" x14ac:dyDescent="0.35">
      <c r="A298">
        <v>26663</v>
      </c>
      <c r="B298" t="s">
        <v>39</v>
      </c>
      <c r="C298" t="s">
        <v>37</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37</v>
      </c>
      <c r="D300" s="3">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37</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39</v>
      </c>
      <c r="C302" t="s">
        <v>37</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39</v>
      </c>
      <c r="C303" t="s">
        <v>37</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39</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37</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39</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37</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39</v>
      </c>
      <c r="C315" t="s">
        <v>38</v>
      </c>
      <c r="D315" s="3">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39</v>
      </c>
      <c r="C317" t="s">
        <v>38</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38</v>
      </c>
      <c r="D320" s="3">
        <v>130000</v>
      </c>
      <c r="E320">
        <v>4</v>
      </c>
      <c r="F320" t="s">
        <v>19</v>
      </c>
      <c r="G320" t="s">
        <v>21</v>
      </c>
      <c r="H320" t="s">
        <v>18</v>
      </c>
      <c r="I320">
        <v>3</v>
      </c>
      <c r="J320" t="s">
        <v>49</v>
      </c>
      <c r="K320" t="s">
        <v>17</v>
      </c>
      <c r="L320">
        <v>54</v>
      </c>
      <c r="M320" t="str">
        <f t="shared" si="4"/>
        <v>Middle Aged</v>
      </c>
      <c r="N320" t="s">
        <v>18</v>
      </c>
    </row>
    <row r="321" spans="1:14" x14ac:dyDescent="0.35">
      <c r="A321">
        <v>11386</v>
      </c>
      <c r="B321" t="s">
        <v>36</v>
      </c>
      <c r="C321" t="s">
        <v>37</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39</v>
      </c>
      <c r="C323" t="s">
        <v>37</v>
      </c>
      <c r="D323" s="3">
        <v>160000</v>
      </c>
      <c r="E323">
        <v>0</v>
      </c>
      <c r="F323" t="s">
        <v>31</v>
      </c>
      <c r="G323" t="s">
        <v>28</v>
      </c>
      <c r="H323" t="s">
        <v>18</v>
      </c>
      <c r="I323">
        <v>3</v>
      </c>
      <c r="J323" t="s">
        <v>16</v>
      </c>
      <c r="K323" t="s">
        <v>24</v>
      </c>
      <c r="L323">
        <v>47</v>
      </c>
      <c r="M323" t="str">
        <f t="shared" ref="M323:M386" si="5">IF(L323&gt;54,"Old",IF(L323&lt;31,"Adolescent",IF(L323&gt;=31,"Middle Aged","Invalid")))</f>
        <v>Middle Aged</v>
      </c>
      <c r="N323" t="s">
        <v>15</v>
      </c>
    </row>
    <row r="324" spans="1:14" x14ac:dyDescent="0.35">
      <c r="A324">
        <v>16410</v>
      </c>
      <c r="B324" t="s">
        <v>39</v>
      </c>
      <c r="C324" t="s">
        <v>37</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39</v>
      </c>
      <c r="C325" t="s">
        <v>37</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39</v>
      </c>
      <c r="C327" t="s">
        <v>38</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37</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39</v>
      </c>
      <c r="C330" t="s">
        <v>38</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37</v>
      </c>
      <c r="D331" s="3">
        <v>90000</v>
      </c>
      <c r="E331">
        <v>5</v>
      </c>
      <c r="F331" t="s">
        <v>29</v>
      </c>
      <c r="G331" t="s">
        <v>14</v>
      </c>
      <c r="H331" t="s">
        <v>15</v>
      </c>
      <c r="I331">
        <v>2</v>
      </c>
      <c r="J331" t="s">
        <v>49</v>
      </c>
      <c r="K331" t="s">
        <v>17</v>
      </c>
      <c r="L331">
        <v>59</v>
      </c>
      <c r="M331" t="str">
        <f t="shared" si="5"/>
        <v>Old</v>
      </c>
      <c r="N331" t="s">
        <v>18</v>
      </c>
    </row>
    <row r="332" spans="1:14" x14ac:dyDescent="0.35">
      <c r="A332">
        <v>24898</v>
      </c>
      <c r="B332" t="s">
        <v>39</v>
      </c>
      <c r="C332" t="s">
        <v>37</v>
      </c>
      <c r="D332" s="3">
        <v>80000</v>
      </c>
      <c r="E332">
        <v>0</v>
      </c>
      <c r="F332" t="s">
        <v>13</v>
      </c>
      <c r="G332" t="s">
        <v>21</v>
      </c>
      <c r="H332" t="s">
        <v>15</v>
      </c>
      <c r="I332">
        <v>3</v>
      </c>
      <c r="J332" t="s">
        <v>49</v>
      </c>
      <c r="K332" t="s">
        <v>24</v>
      </c>
      <c r="L332">
        <v>32</v>
      </c>
      <c r="M332" t="str">
        <f t="shared" si="5"/>
        <v>Middle Aged</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39</v>
      </c>
      <c r="C334" t="s">
        <v>37</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39</v>
      </c>
      <c r="C338" t="s">
        <v>38</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39</v>
      </c>
      <c r="C340" t="s">
        <v>37</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39</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39</v>
      </c>
      <c r="C343" t="s">
        <v>37</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39</v>
      </c>
      <c r="C344" t="s">
        <v>38</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39</v>
      </c>
      <c r="C345" t="s">
        <v>37</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39</v>
      </c>
      <c r="C346" t="s">
        <v>38</v>
      </c>
      <c r="D346" s="3">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37</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39</v>
      </c>
      <c r="C349" t="s">
        <v>37</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39</v>
      </c>
      <c r="C351" t="s">
        <v>37</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39</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39</v>
      </c>
      <c r="C353" t="s">
        <v>38</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37</v>
      </c>
      <c r="D354" s="3">
        <v>80000</v>
      </c>
      <c r="E354">
        <v>4</v>
      </c>
      <c r="F354" t="s">
        <v>19</v>
      </c>
      <c r="G354" t="s">
        <v>21</v>
      </c>
      <c r="H354" t="s">
        <v>15</v>
      </c>
      <c r="I354">
        <v>2</v>
      </c>
      <c r="J354" t="s">
        <v>22</v>
      </c>
      <c r="K354" t="s">
        <v>17</v>
      </c>
      <c r="L354">
        <v>53</v>
      </c>
      <c r="M354" t="str">
        <f t="shared" si="5"/>
        <v>Middle Aged</v>
      </c>
      <c r="N354" t="s">
        <v>18</v>
      </c>
    </row>
    <row r="355" spans="1:14" x14ac:dyDescent="0.35">
      <c r="A355">
        <v>26354</v>
      </c>
      <c r="B355" t="s">
        <v>39</v>
      </c>
      <c r="C355" t="s">
        <v>38</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39</v>
      </c>
      <c r="C356" t="s">
        <v>38</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39</v>
      </c>
      <c r="C357" t="s">
        <v>38</v>
      </c>
      <c r="D357" s="3">
        <v>80000</v>
      </c>
      <c r="E357">
        <v>0</v>
      </c>
      <c r="F357" t="s">
        <v>13</v>
      </c>
      <c r="G357" t="s">
        <v>21</v>
      </c>
      <c r="H357" t="s">
        <v>15</v>
      </c>
      <c r="I357">
        <v>3</v>
      </c>
      <c r="J357" t="s">
        <v>49</v>
      </c>
      <c r="K357" t="s">
        <v>24</v>
      </c>
      <c r="L357">
        <v>32</v>
      </c>
      <c r="M357" t="str">
        <f t="shared" si="5"/>
        <v>Middle Aged</v>
      </c>
      <c r="N357" t="s">
        <v>18</v>
      </c>
    </row>
    <row r="358" spans="1:14" x14ac:dyDescent="0.35">
      <c r="A358">
        <v>23608</v>
      </c>
      <c r="B358" t="s">
        <v>36</v>
      </c>
      <c r="C358" t="s">
        <v>37</v>
      </c>
      <c r="D358" s="3">
        <v>150000</v>
      </c>
      <c r="E358">
        <v>3</v>
      </c>
      <c r="F358" t="s">
        <v>27</v>
      </c>
      <c r="G358" t="s">
        <v>21</v>
      </c>
      <c r="H358" t="s">
        <v>15</v>
      </c>
      <c r="I358">
        <v>3</v>
      </c>
      <c r="J358" t="s">
        <v>16</v>
      </c>
      <c r="K358" t="s">
        <v>17</v>
      </c>
      <c r="L358">
        <v>51</v>
      </c>
      <c r="M358" t="str">
        <f t="shared" si="5"/>
        <v>Middle Aged</v>
      </c>
      <c r="N358" t="s">
        <v>15</v>
      </c>
    </row>
    <row r="359" spans="1:14" x14ac:dyDescent="0.35">
      <c r="A359">
        <v>22538</v>
      </c>
      <c r="B359" t="s">
        <v>39</v>
      </c>
      <c r="C359" t="s">
        <v>37</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49</v>
      </c>
      <c r="K361" t="s">
        <v>24</v>
      </c>
      <c r="L361">
        <v>30</v>
      </c>
      <c r="M361" t="str">
        <f t="shared" si="5"/>
        <v>Adolescent</v>
      </c>
      <c r="N361" t="s">
        <v>18</v>
      </c>
    </row>
    <row r="362" spans="1:14" x14ac:dyDescent="0.35">
      <c r="A362">
        <v>13082</v>
      </c>
      <c r="B362" t="s">
        <v>39</v>
      </c>
      <c r="C362" t="s">
        <v>38</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39</v>
      </c>
      <c r="C363" t="s">
        <v>37</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37</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39</v>
      </c>
      <c r="C366" t="s">
        <v>37</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39</v>
      </c>
      <c r="C367" t="s">
        <v>37</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37</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39</v>
      </c>
      <c r="C370" t="s">
        <v>37</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39</v>
      </c>
      <c r="C371" t="s">
        <v>37</v>
      </c>
      <c r="D371" s="3">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37</v>
      </c>
      <c r="D372" s="3">
        <v>100000</v>
      </c>
      <c r="E372">
        <v>4</v>
      </c>
      <c r="F372" t="s">
        <v>13</v>
      </c>
      <c r="G372" t="s">
        <v>21</v>
      </c>
      <c r="H372" t="s">
        <v>15</v>
      </c>
      <c r="I372">
        <v>1</v>
      </c>
      <c r="J372" t="s">
        <v>49</v>
      </c>
      <c r="K372" t="s">
        <v>24</v>
      </c>
      <c r="L372">
        <v>46</v>
      </c>
      <c r="M372" t="str">
        <f t="shared" si="5"/>
        <v>Middle Aged</v>
      </c>
      <c r="N372" t="s">
        <v>18</v>
      </c>
    </row>
    <row r="373" spans="1:14" x14ac:dyDescent="0.35">
      <c r="A373">
        <v>22918</v>
      </c>
      <c r="B373" t="s">
        <v>39</v>
      </c>
      <c r="C373" t="s">
        <v>38</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39</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39</v>
      </c>
      <c r="C376" t="s">
        <v>37</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37</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39</v>
      </c>
      <c r="C382" t="s">
        <v>38</v>
      </c>
      <c r="D382" s="3">
        <v>70000</v>
      </c>
      <c r="E382">
        <v>0</v>
      </c>
      <c r="F382" t="s">
        <v>13</v>
      </c>
      <c r="G382" t="s">
        <v>21</v>
      </c>
      <c r="H382" t="s">
        <v>18</v>
      </c>
      <c r="I382">
        <v>3</v>
      </c>
      <c r="J382" t="s">
        <v>49</v>
      </c>
      <c r="K382" t="s">
        <v>24</v>
      </c>
      <c r="L382">
        <v>30</v>
      </c>
      <c r="M382" t="str">
        <f t="shared" si="5"/>
        <v>Adolescent</v>
      </c>
      <c r="N382" t="s">
        <v>15</v>
      </c>
    </row>
    <row r="383" spans="1:14" x14ac:dyDescent="0.35">
      <c r="A383">
        <v>22974</v>
      </c>
      <c r="B383" t="s">
        <v>36</v>
      </c>
      <c r="C383" t="s">
        <v>37</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49</v>
      </c>
      <c r="K384" t="s">
        <v>17</v>
      </c>
      <c r="L384">
        <v>53</v>
      </c>
      <c r="M384" t="str">
        <f t="shared" si="5"/>
        <v>Middle Aged</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39</v>
      </c>
      <c r="C386" t="s">
        <v>37</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39</v>
      </c>
      <c r="C387" t="s">
        <v>38</v>
      </c>
      <c r="D387" s="3">
        <v>30000</v>
      </c>
      <c r="E387">
        <v>3</v>
      </c>
      <c r="F387" t="s">
        <v>19</v>
      </c>
      <c r="G387" t="s">
        <v>20</v>
      </c>
      <c r="H387" t="s">
        <v>15</v>
      </c>
      <c r="I387">
        <v>0</v>
      </c>
      <c r="J387" t="s">
        <v>16</v>
      </c>
      <c r="K387" t="s">
        <v>17</v>
      </c>
      <c r="L387">
        <v>43</v>
      </c>
      <c r="M387" t="str">
        <f t="shared" ref="M387:M450" si="6">IF(L387&gt;54,"Old",IF(L387&lt;31,"Adolescent",IF(L387&gt;=31,"Middle Aged","Invalid")))</f>
        <v>Middle Aged</v>
      </c>
      <c r="N387" t="s">
        <v>18</v>
      </c>
    </row>
    <row r="388" spans="1:14" x14ac:dyDescent="0.35">
      <c r="A388">
        <v>28957</v>
      </c>
      <c r="B388" t="s">
        <v>39</v>
      </c>
      <c r="C388" t="s">
        <v>37</v>
      </c>
      <c r="D388" s="3">
        <v>120000</v>
      </c>
      <c r="E388">
        <v>0</v>
      </c>
      <c r="F388" t="s">
        <v>29</v>
      </c>
      <c r="G388" t="s">
        <v>21</v>
      </c>
      <c r="H388" t="s">
        <v>15</v>
      </c>
      <c r="I388">
        <v>4</v>
      </c>
      <c r="J388" t="s">
        <v>49</v>
      </c>
      <c r="K388" t="s">
        <v>24</v>
      </c>
      <c r="L388">
        <v>34</v>
      </c>
      <c r="M388" t="str">
        <f t="shared" si="6"/>
        <v>Middle Aged</v>
      </c>
      <c r="N388" t="s">
        <v>15</v>
      </c>
    </row>
    <row r="389" spans="1:14" x14ac:dyDescent="0.35">
      <c r="A389">
        <v>13690</v>
      </c>
      <c r="B389" t="s">
        <v>39</v>
      </c>
      <c r="C389" t="s">
        <v>37</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37</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37</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39</v>
      </c>
      <c r="C392" t="s">
        <v>38</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39</v>
      </c>
      <c r="C393" t="s">
        <v>37</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39</v>
      </c>
      <c r="C394" t="s">
        <v>38</v>
      </c>
      <c r="D394" s="3">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37</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37</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39</v>
      </c>
      <c r="C398" t="s">
        <v>38</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37</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39</v>
      </c>
      <c r="C400" t="s">
        <v>38</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39</v>
      </c>
      <c r="C401" t="s">
        <v>37</v>
      </c>
      <c r="D401" s="3">
        <v>40000</v>
      </c>
      <c r="E401">
        <v>2</v>
      </c>
      <c r="F401" t="s">
        <v>13</v>
      </c>
      <c r="G401" t="s">
        <v>28</v>
      </c>
      <c r="H401" t="s">
        <v>18</v>
      </c>
      <c r="I401">
        <v>1</v>
      </c>
      <c r="J401" t="s">
        <v>23</v>
      </c>
      <c r="K401" t="s">
        <v>24</v>
      </c>
      <c r="L401">
        <v>53</v>
      </c>
      <c r="M401" t="str">
        <f t="shared" si="6"/>
        <v>Middle Aged</v>
      </c>
      <c r="N401" t="s">
        <v>15</v>
      </c>
    </row>
    <row r="402" spans="1:14" x14ac:dyDescent="0.35">
      <c r="A402">
        <v>25792</v>
      </c>
      <c r="B402" t="s">
        <v>39</v>
      </c>
      <c r="C402" t="s">
        <v>37</v>
      </c>
      <c r="D402" s="3">
        <v>110000</v>
      </c>
      <c r="E402">
        <v>3</v>
      </c>
      <c r="F402" t="s">
        <v>13</v>
      </c>
      <c r="G402" t="s">
        <v>28</v>
      </c>
      <c r="H402" t="s">
        <v>15</v>
      </c>
      <c r="I402">
        <v>4</v>
      </c>
      <c r="J402" t="s">
        <v>49</v>
      </c>
      <c r="K402" t="s">
        <v>17</v>
      </c>
      <c r="L402">
        <v>53</v>
      </c>
      <c r="M402" t="str">
        <f t="shared" si="6"/>
        <v>Middle Aged</v>
      </c>
      <c r="N402" t="s">
        <v>18</v>
      </c>
    </row>
    <row r="403" spans="1:14" x14ac:dyDescent="0.35">
      <c r="A403">
        <v>11555</v>
      </c>
      <c r="B403" t="s">
        <v>36</v>
      </c>
      <c r="C403" t="s">
        <v>37</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37</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37</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39</v>
      </c>
      <c r="C409" t="s">
        <v>37</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39</v>
      </c>
      <c r="C410" t="s">
        <v>37</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37</v>
      </c>
      <c r="D411" s="3">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37</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39</v>
      </c>
      <c r="C414" t="s">
        <v>38</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39</v>
      </c>
      <c r="C415" t="s">
        <v>37</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37</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37</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39</v>
      </c>
      <c r="C418" t="s">
        <v>38</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39</v>
      </c>
      <c r="C419" t="s">
        <v>37</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39</v>
      </c>
      <c r="C421" t="s">
        <v>38</v>
      </c>
      <c r="D421" s="3">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37</v>
      </c>
      <c r="D422" s="3">
        <v>100000</v>
      </c>
      <c r="E422">
        <v>2</v>
      </c>
      <c r="F422" t="s">
        <v>13</v>
      </c>
      <c r="G422" t="s">
        <v>28</v>
      </c>
      <c r="H422" t="s">
        <v>15</v>
      </c>
      <c r="I422">
        <v>4</v>
      </c>
      <c r="J422" t="s">
        <v>49</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5">
      <c r="A424">
        <v>24901</v>
      </c>
      <c r="B424" t="s">
        <v>39</v>
      </c>
      <c r="C424" t="s">
        <v>38</v>
      </c>
      <c r="D424" s="3">
        <v>110000</v>
      </c>
      <c r="E424">
        <v>0</v>
      </c>
      <c r="F424" t="s">
        <v>19</v>
      </c>
      <c r="G424" t="s">
        <v>28</v>
      </c>
      <c r="H424" t="s">
        <v>18</v>
      </c>
      <c r="I424">
        <v>3</v>
      </c>
      <c r="J424" t="s">
        <v>49</v>
      </c>
      <c r="K424" t="s">
        <v>24</v>
      </c>
      <c r="L424">
        <v>32</v>
      </c>
      <c r="M424" t="str">
        <f t="shared" si="6"/>
        <v>Middle Aged</v>
      </c>
      <c r="N424" t="s">
        <v>15</v>
      </c>
    </row>
    <row r="425" spans="1:14" x14ac:dyDescent="0.35">
      <c r="A425">
        <v>27169</v>
      </c>
      <c r="B425" t="s">
        <v>39</v>
      </c>
      <c r="C425" t="s">
        <v>38</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39</v>
      </c>
      <c r="C426" t="s">
        <v>37</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39</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39</v>
      </c>
      <c r="C429" t="s">
        <v>37</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39</v>
      </c>
      <c r="C431" t="s">
        <v>37</v>
      </c>
      <c r="D431" s="3">
        <v>30000</v>
      </c>
      <c r="E431">
        <v>0</v>
      </c>
      <c r="F431" t="s">
        <v>19</v>
      </c>
      <c r="G431" t="s">
        <v>20</v>
      </c>
      <c r="H431" t="s">
        <v>15</v>
      </c>
      <c r="I431">
        <v>1</v>
      </c>
      <c r="J431" t="s">
        <v>22</v>
      </c>
      <c r="K431" t="s">
        <v>17</v>
      </c>
      <c r="L431">
        <v>31</v>
      </c>
      <c r="M431" t="str">
        <f t="shared" si="6"/>
        <v>Middle Aged</v>
      </c>
      <c r="N431" t="s">
        <v>18</v>
      </c>
    </row>
    <row r="432" spans="1:14" x14ac:dyDescent="0.35">
      <c r="A432">
        <v>15019</v>
      </c>
      <c r="B432" t="s">
        <v>39</v>
      </c>
      <c r="C432" t="s">
        <v>37</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39</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37</v>
      </c>
      <c r="D434" s="3">
        <v>110000</v>
      </c>
      <c r="E434">
        <v>0</v>
      </c>
      <c r="F434" t="s">
        <v>27</v>
      </c>
      <c r="G434" t="s">
        <v>28</v>
      </c>
      <c r="H434" t="s">
        <v>15</v>
      </c>
      <c r="I434">
        <v>3</v>
      </c>
      <c r="J434" t="s">
        <v>49</v>
      </c>
      <c r="K434" t="s">
        <v>24</v>
      </c>
      <c r="L434">
        <v>34</v>
      </c>
      <c r="M434" t="str">
        <f t="shared" si="6"/>
        <v>Middle Aged</v>
      </c>
      <c r="N434" t="s">
        <v>15</v>
      </c>
    </row>
    <row r="435" spans="1:14" x14ac:dyDescent="0.35">
      <c r="A435">
        <v>27814</v>
      </c>
      <c r="B435" t="s">
        <v>39</v>
      </c>
      <c r="C435" t="s">
        <v>37</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37</v>
      </c>
      <c r="D436" s="3">
        <v>30000</v>
      </c>
      <c r="E436">
        <v>3</v>
      </c>
      <c r="F436" t="s">
        <v>27</v>
      </c>
      <c r="G436" t="s">
        <v>14</v>
      </c>
      <c r="H436" t="s">
        <v>15</v>
      </c>
      <c r="I436">
        <v>2</v>
      </c>
      <c r="J436" t="s">
        <v>23</v>
      </c>
      <c r="K436" t="s">
        <v>24</v>
      </c>
      <c r="L436">
        <v>53</v>
      </c>
      <c r="M436" t="str">
        <f t="shared" si="6"/>
        <v>Middle Aged</v>
      </c>
      <c r="N436" t="s">
        <v>15</v>
      </c>
    </row>
    <row r="437" spans="1:14" x14ac:dyDescent="0.35">
      <c r="A437">
        <v>29447</v>
      </c>
      <c r="B437" t="s">
        <v>39</v>
      </c>
      <c r="C437" t="s">
        <v>37</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37</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39</v>
      </c>
      <c r="C439" t="s">
        <v>37</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39</v>
      </c>
      <c r="C440" t="s">
        <v>37</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39</v>
      </c>
      <c r="C442" t="s">
        <v>38</v>
      </c>
      <c r="D442" s="3">
        <v>90000</v>
      </c>
      <c r="E442">
        <v>0</v>
      </c>
      <c r="F442" t="s">
        <v>13</v>
      </c>
      <c r="G442" t="s">
        <v>21</v>
      </c>
      <c r="H442" t="s">
        <v>18</v>
      </c>
      <c r="I442">
        <v>3</v>
      </c>
      <c r="J442" t="s">
        <v>49</v>
      </c>
      <c r="K442" t="s">
        <v>24</v>
      </c>
      <c r="L442">
        <v>34</v>
      </c>
      <c r="M442" t="str">
        <f t="shared" si="6"/>
        <v>Middle Aged</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5">
      <c r="A444">
        <v>26651</v>
      </c>
      <c r="B444" t="s">
        <v>39</v>
      </c>
      <c r="C444" t="s">
        <v>38</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37</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39</v>
      </c>
      <c r="C446" t="s">
        <v>38</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37</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37</v>
      </c>
      <c r="D448" s="3">
        <v>130000</v>
      </c>
      <c r="E448">
        <v>0</v>
      </c>
      <c r="F448" t="s">
        <v>31</v>
      </c>
      <c r="G448" t="s">
        <v>28</v>
      </c>
      <c r="H448" t="s">
        <v>15</v>
      </c>
      <c r="I448">
        <v>1</v>
      </c>
      <c r="J448" t="s">
        <v>49</v>
      </c>
      <c r="K448" t="s">
        <v>24</v>
      </c>
      <c r="L448">
        <v>48</v>
      </c>
      <c r="M448" t="str">
        <f t="shared" si="6"/>
        <v>Middle Aged</v>
      </c>
      <c r="N448" t="s">
        <v>18</v>
      </c>
    </row>
    <row r="449" spans="1:14" x14ac:dyDescent="0.35">
      <c r="A449">
        <v>20711</v>
      </c>
      <c r="B449" t="s">
        <v>36</v>
      </c>
      <c r="C449" t="s">
        <v>37</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37</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37</v>
      </c>
      <c r="D451" s="3">
        <v>40000</v>
      </c>
      <c r="E451">
        <v>1</v>
      </c>
      <c r="F451" t="s">
        <v>13</v>
      </c>
      <c r="G451" t="s">
        <v>14</v>
      </c>
      <c r="H451" t="s">
        <v>15</v>
      </c>
      <c r="I451">
        <v>0</v>
      </c>
      <c r="J451" t="s">
        <v>16</v>
      </c>
      <c r="K451" t="s">
        <v>17</v>
      </c>
      <c r="L451">
        <v>42</v>
      </c>
      <c r="M451" t="str">
        <f t="shared" ref="M451:M514" si="7">IF(L451&gt;54,"Old",IF(L451&lt;31,"Adolescent",IF(L451&gt;=31,"Middle Aged","Invalid")))</f>
        <v>Middle Aged</v>
      </c>
      <c r="N451" t="s">
        <v>18</v>
      </c>
    </row>
    <row r="452" spans="1:14" x14ac:dyDescent="0.35">
      <c r="A452">
        <v>16559</v>
      </c>
      <c r="B452" t="s">
        <v>39</v>
      </c>
      <c r="C452" t="s">
        <v>37</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37</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37</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39</v>
      </c>
      <c r="C455" t="s">
        <v>37</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39</v>
      </c>
      <c r="C456" t="s">
        <v>38</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37</v>
      </c>
      <c r="D457" s="3">
        <v>80000</v>
      </c>
      <c r="E457">
        <v>4</v>
      </c>
      <c r="F457" t="s">
        <v>19</v>
      </c>
      <c r="G457" t="s">
        <v>21</v>
      </c>
      <c r="H457" t="s">
        <v>18</v>
      </c>
      <c r="I457">
        <v>1</v>
      </c>
      <c r="J457" t="s">
        <v>22</v>
      </c>
      <c r="K457" t="s">
        <v>17</v>
      </c>
      <c r="L457">
        <v>53</v>
      </c>
      <c r="M457" t="str">
        <f t="shared" si="7"/>
        <v>Middle Aged</v>
      </c>
      <c r="N457" t="s">
        <v>15</v>
      </c>
    </row>
    <row r="458" spans="1:14" x14ac:dyDescent="0.35">
      <c r="A458">
        <v>26385</v>
      </c>
      <c r="B458" t="s">
        <v>39</v>
      </c>
      <c r="C458" t="s">
        <v>38</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37</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49</v>
      </c>
      <c r="K460" t="s">
        <v>24</v>
      </c>
      <c r="L460">
        <v>32</v>
      </c>
      <c r="M460" t="str">
        <f t="shared" si="7"/>
        <v>Middle Aged</v>
      </c>
      <c r="N460" t="s">
        <v>15</v>
      </c>
    </row>
    <row r="461" spans="1:14" x14ac:dyDescent="0.35">
      <c r="A461">
        <v>21554</v>
      </c>
      <c r="B461" t="s">
        <v>39</v>
      </c>
      <c r="C461" t="s">
        <v>37</v>
      </c>
      <c r="D461" s="3">
        <v>80000</v>
      </c>
      <c r="E461">
        <v>0</v>
      </c>
      <c r="F461" t="s">
        <v>13</v>
      </c>
      <c r="G461" t="s">
        <v>21</v>
      </c>
      <c r="H461" t="s">
        <v>18</v>
      </c>
      <c r="I461">
        <v>3</v>
      </c>
      <c r="J461" t="s">
        <v>49</v>
      </c>
      <c r="K461" t="s">
        <v>24</v>
      </c>
      <c r="L461">
        <v>33</v>
      </c>
      <c r="M461" t="str">
        <f t="shared" si="7"/>
        <v>Middle Aged</v>
      </c>
      <c r="N461" t="s">
        <v>18</v>
      </c>
    </row>
    <row r="462" spans="1:14" x14ac:dyDescent="0.35">
      <c r="A462">
        <v>13662</v>
      </c>
      <c r="B462" t="s">
        <v>39</v>
      </c>
      <c r="C462" t="s">
        <v>38</v>
      </c>
      <c r="D462" s="3">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37</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37</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39</v>
      </c>
      <c r="C465" t="s">
        <v>38</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39</v>
      </c>
      <c r="C466" t="s">
        <v>37</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39</v>
      </c>
      <c r="C468" t="s">
        <v>37</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39</v>
      </c>
      <c r="C469" t="s">
        <v>38</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37</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37</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39</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39</v>
      </c>
      <c r="C473" t="s">
        <v>38</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39</v>
      </c>
      <c r="C474" t="s">
        <v>37</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37</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37</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39</v>
      </c>
      <c r="C478" t="s">
        <v>37</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37</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39</v>
      </c>
      <c r="C483" t="s">
        <v>37</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39</v>
      </c>
      <c r="C484" t="s">
        <v>38</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39</v>
      </c>
      <c r="C486" t="s">
        <v>37</v>
      </c>
      <c r="D486" s="3">
        <v>30000</v>
      </c>
      <c r="E486">
        <v>0</v>
      </c>
      <c r="F486" t="s">
        <v>19</v>
      </c>
      <c r="G486" t="s">
        <v>20</v>
      </c>
      <c r="H486" t="s">
        <v>18</v>
      </c>
      <c r="I486">
        <v>1</v>
      </c>
      <c r="J486" t="s">
        <v>22</v>
      </c>
      <c r="K486" t="s">
        <v>17</v>
      </c>
      <c r="L486">
        <v>31</v>
      </c>
      <c r="M486" t="str">
        <f t="shared" si="7"/>
        <v>Middle Aged</v>
      </c>
      <c r="N486" t="s">
        <v>15</v>
      </c>
    </row>
    <row r="487" spans="1:14" x14ac:dyDescent="0.35">
      <c r="A487">
        <v>19491</v>
      </c>
      <c r="B487" t="s">
        <v>39</v>
      </c>
      <c r="C487" t="s">
        <v>38</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37</v>
      </c>
      <c r="D488" s="3">
        <v>90000</v>
      </c>
      <c r="E488">
        <v>4</v>
      </c>
      <c r="F488" t="s">
        <v>29</v>
      </c>
      <c r="G488" t="s">
        <v>14</v>
      </c>
      <c r="H488" t="s">
        <v>15</v>
      </c>
      <c r="I488">
        <v>4</v>
      </c>
      <c r="J488" t="s">
        <v>49</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39</v>
      </c>
      <c r="C490" t="s">
        <v>37</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39</v>
      </c>
      <c r="C494" t="s">
        <v>37</v>
      </c>
      <c r="D494" s="3">
        <v>40000</v>
      </c>
      <c r="E494">
        <v>3</v>
      </c>
      <c r="F494" t="s">
        <v>19</v>
      </c>
      <c r="G494" t="s">
        <v>20</v>
      </c>
      <c r="H494" t="s">
        <v>15</v>
      </c>
      <c r="I494">
        <v>1</v>
      </c>
      <c r="J494" t="s">
        <v>26</v>
      </c>
      <c r="K494" t="s">
        <v>32</v>
      </c>
      <c r="L494">
        <v>31</v>
      </c>
      <c r="M494" t="str">
        <f t="shared" si="7"/>
        <v>Middle Aged</v>
      </c>
      <c r="N494" t="s">
        <v>15</v>
      </c>
    </row>
    <row r="495" spans="1:14" x14ac:dyDescent="0.35">
      <c r="A495">
        <v>23707</v>
      </c>
      <c r="B495" t="s">
        <v>39</v>
      </c>
      <c r="C495" t="s">
        <v>38</v>
      </c>
      <c r="D495" s="3">
        <v>70000</v>
      </c>
      <c r="E495">
        <v>5</v>
      </c>
      <c r="F495" t="s">
        <v>13</v>
      </c>
      <c r="G495" t="s">
        <v>28</v>
      </c>
      <c r="H495" t="s">
        <v>15</v>
      </c>
      <c r="I495">
        <v>3</v>
      </c>
      <c r="J495" t="s">
        <v>49</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38</v>
      </c>
      <c r="D497" s="3">
        <v>60000</v>
      </c>
      <c r="E497">
        <v>2</v>
      </c>
      <c r="F497" t="s">
        <v>19</v>
      </c>
      <c r="G497" t="s">
        <v>21</v>
      </c>
      <c r="H497" t="s">
        <v>15</v>
      </c>
      <c r="I497">
        <v>2</v>
      </c>
      <c r="J497" t="s">
        <v>49</v>
      </c>
      <c r="K497" t="s">
        <v>32</v>
      </c>
      <c r="L497">
        <v>56</v>
      </c>
      <c r="M497" t="str">
        <f t="shared" si="7"/>
        <v>Old</v>
      </c>
      <c r="N497" t="s">
        <v>18</v>
      </c>
    </row>
    <row r="498" spans="1:14" x14ac:dyDescent="0.35">
      <c r="A498">
        <v>20678</v>
      </c>
      <c r="B498" t="s">
        <v>39</v>
      </c>
      <c r="C498" t="s">
        <v>37</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39</v>
      </c>
      <c r="C499" t="s">
        <v>37</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39</v>
      </c>
      <c r="C501" t="s">
        <v>37</v>
      </c>
      <c r="D501" s="3">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37</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37</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37</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37</v>
      </c>
      <c r="D509" s="3">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39</v>
      </c>
      <c r="C512" t="s">
        <v>38</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39</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37</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39</v>
      </c>
      <c r="C515" t="s">
        <v>37</v>
      </c>
      <c r="D515" s="3">
        <v>60000</v>
      </c>
      <c r="E515">
        <v>4</v>
      </c>
      <c r="F515" t="s">
        <v>31</v>
      </c>
      <c r="G515" t="s">
        <v>28</v>
      </c>
      <c r="H515" t="s">
        <v>15</v>
      </c>
      <c r="I515">
        <v>2</v>
      </c>
      <c r="J515" t="s">
        <v>49</v>
      </c>
      <c r="K515" t="s">
        <v>32</v>
      </c>
      <c r="L515">
        <v>61</v>
      </c>
      <c r="M515" t="str">
        <f t="shared" ref="M515:M578" si="8">IF(L515&gt;54,"Old",IF(L515&lt;31,"Adolescent",IF(L515&gt;=31,"Middle Aged","Invalid")))</f>
        <v>Old</v>
      </c>
      <c r="N515" t="s">
        <v>15</v>
      </c>
    </row>
    <row r="516" spans="1:14" x14ac:dyDescent="0.35">
      <c r="A516">
        <v>19399</v>
      </c>
      <c r="B516" t="s">
        <v>39</v>
      </c>
      <c r="C516" t="s">
        <v>38</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37</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37</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39</v>
      </c>
      <c r="C519" t="s">
        <v>38</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37</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39</v>
      </c>
      <c r="C522" t="s">
        <v>38</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39</v>
      </c>
      <c r="C523" t="s">
        <v>38</v>
      </c>
      <c r="D523" s="3">
        <v>40000</v>
      </c>
      <c r="E523">
        <v>4</v>
      </c>
      <c r="F523" t="s">
        <v>27</v>
      </c>
      <c r="G523" t="s">
        <v>21</v>
      </c>
      <c r="H523" t="s">
        <v>15</v>
      </c>
      <c r="I523">
        <v>2</v>
      </c>
      <c r="J523" t="s">
        <v>49</v>
      </c>
      <c r="K523" t="s">
        <v>32</v>
      </c>
      <c r="L523">
        <v>62</v>
      </c>
      <c r="M523" t="str">
        <f t="shared" si="8"/>
        <v>Old</v>
      </c>
      <c r="N523" t="s">
        <v>15</v>
      </c>
    </row>
    <row r="524" spans="1:14" x14ac:dyDescent="0.35">
      <c r="A524">
        <v>19413</v>
      </c>
      <c r="B524" t="s">
        <v>39</v>
      </c>
      <c r="C524" t="s">
        <v>38</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39</v>
      </c>
      <c r="C526" t="s">
        <v>37</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39</v>
      </c>
      <c r="C527" t="s">
        <v>38</v>
      </c>
      <c r="D527" s="3">
        <v>60000</v>
      </c>
      <c r="E527">
        <v>5</v>
      </c>
      <c r="F527" t="s">
        <v>13</v>
      </c>
      <c r="G527" t="s">
        <v>28</v>
      </c>
      <c r="H527" t="s">
        <v>15</v>
      </c>
      <c r="I527">
        <v>3</v>
      </c>
      <c r="J527" t="s">
        <v>49</v>
      </c>
      <c r="K527" t="s">
        <v>32</v>
      </c>
      <c r="L527">
        <v>59</v>
      </c>
      <c r="M527" t="str">
        <f t="shared" si="8"/>
        <v>Old</v>
      </c>
      <c r="N527" t="s">
        <v>15</v>
      </c>
    </row>
    <row r="528" spans="1:14" x14ac:dyDescent="0.35">
      <c r="A528">
        <v>15382</v>
      </c>
      <c r="B528" t="s">
        <v>36</v>
      </c>
      <c r="C528" t="s">
        <v>37</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39</v>
      </c>
      <c r="C530" t="s">
        <v>37</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49</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39</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39</v>
      </c>
      <c r="C534" t="s">
        <v>37</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38</v>
      </c>
      <c r="D535" s="3">
        <v>60000</v>
      </c>
      <c r="E535">
        <v>3</v>
      </c>
      <c r="F535" t="s">
        <v>13</v>
      </c>
      <c r="G535" t="s">
        <v>28</v>
      </c>
      <c r="H535" t="s">
        <v>15</v>
      </c>
      <c r="I535">
        <v>2</v>
      </c>
      <c r="J535" t="s">
        <v>49</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49</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49</v>
      </c>
      <c r="K537" t="s">
        <v>32</v>
      </c>
      <c r="L537">
        <v>41</v>
      </c>
      <c r="M537" t="str">
        <f t="shared" si="8"/>
        <v>Middle Aged</v>
      </c>
      <c r="N537" t="s">
        <v>18</v>
      </c>
    </row>
    <row r="538" spans="1:14" x14ac:dyDescent="0.35">
      <c r="A538">
        <v>13907</v>
      </c>
      <c r="B538" t="s">
        <v>39</v>
      </c>
      <c r="C538" t="s">
        <v>37</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37</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37</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39</v>
      </c>
      <c r="C541" t="s">
        <v>37</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39</v>
      </c>
      <c r="C542" t="s">
        <v>37</v>
      </c>
      <c r="D542" s="3">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37</v>
      </c>
      <c r="D545" s="3">
        <v>70000</v>
      </c>
      <c r="E545">
        <v>2</v>
      </c>
      <c r="F545" t="s">
        <v>27</v>
      </c>
      <c r="G545" t="s">
        <v>21</v>
      </c>
      <c r="H545" t="s">
        <v>15</v>
      </c>
      <c r="I545">
        <v>2</v>
      </c>
      <c r="J545" t="s">
        <v>22</v>
      </c>
      <c r="K545" t="s">
        <v>32</v>
      </c>
      <c r="L545">
        <v>53</v>
      </c>
      <c r="M545" t="str">
        <f t="shared" si="8"/>
        <v>Middle Aged</v>
      </c>
      <c r="N545" t="s">
        <v>18</v>
      </c>
    </row>
    <row r="546" spans="1:14" x14ac:dyDescent="0.35">
      <c r="A546">
        <v>24397</v>
      </c>
      <c r="B546" t="s">
        <v>39</v>
      </c>
      <c r="C546" t="s">
        <v>38</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39</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39</v>
      </c>
      <c r="C550" t="s">
        <v>37</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37</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39</v>
      </c>
      <c r="C552" t="s">
        <v>37</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37</v>
      </c>
      <c r="D553" s="3">
        <v>50000</v>
      </c>
      <c r="E553">
        <v>4</v>
      </c>
      <c r="F553" t="s">
        <v>13</v>
      </c>
      <c r="G553" t="s">
        <v>28</v>
      </c>
      <c r="H553" t="s">
        <v>15</v>
      </c>
      <c r="I553">
        <v>2</v>
      </c>
      <c r="J553" t="s">
        <v>49</v>
      </c>
      <c r="K553" t="s">
        <v>32</v>
      </c>
      <c r="L553">
        <v>63</v>
      </c>
      <c r="M553" t="str">
        <f t="shared" si="8"/>
        <v>Old</v>
      </c>
      <c r="N553" t="s">
        <v>18</v>
      </c>
    </row>
    <row r="554" spans="1:14" x14ac:dyDescent="0.35">
      <c r="A554">
        <v>14417</v>
      </c>
      <c r="B554" t="s">
        <v>39</v>
      </c>
      <c r="C554" t="s">
        <v>38</v>
      </c>
      <c r="D554" s="3">
        <v>60000</v>
      </c>
      <c r="E554">
        <v>3</v>
      </c>
      <c r="F554" t="s">
        <v>27</v>
      </c>
      <c r="G554" t="s">
        <v>21</v>
      </c>
      <c r="H554" t="s">
        <v>15</v>
      </c>
      <c r="I554">
        <v>2</v>
      </c>
      <c r="J554" t="s">
        <v>49</v>
      </c>
      <c r="K554" t="s">
        <v>32</v>
      </c>
      <c r="L554">
        <v>54</v>
      </c>
      <c r="M554" t="str">
        <f t="shared" si="8"/>
        <v>Middle Aged</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37</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39</v>
      </c>
      <c r="C557" t="s">
        <v>38</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37</v>
      </c>
      <c r="D559" s="3">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37</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39</v>
      </c>
      <c r="C561" t="s">
        <v>37</v>
      </c>
      <c r="D561" s="3">
        <v>60000</v>
      </c>
      <c r="E561">
        <v>2</v>
      </c>
      <c r="F561" t="s">
        <v>13</v>
      </c>
      <c r="G561" t="s">
        <v>28</v>
      </c>
      <c r="H561" t="s">
        <v>15</v>
      </c>
      <c r="I561">
        <v>0</v>
      </c>
      <c r="J561" t="s">
        <v>49</v>
      </c>
      <c r="K561" t="s">
        <v>32</v>
      </c>
      <c r="L561">
        <v>58</v>
      </c>
      <c r="M561" t="str">
        <f t="shared" si="8"/>
        <v>Old</v>
      </c>
      <c r="N561" t="s">
        <v>18</v>
      </c>
    </row>
    <row r="562" spans="1:14" x14ac:dyDescent="0.35">
      <c r="A562">
        <v>18577</v>
      </c>
      <c r="B562" t="s">
        <v>36</v>
      </c>
      <c r="C562" t="s">
        <v>37</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37</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37</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39</v>
      </c>
      <c r="C565" t="s">
        <v>37</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39</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37</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39</v>
      </c>
      <c r="C571" t="s">
        <v>38</v>
      </c>
      <c r="D571" s="3">
        <v>50000</v>
      </c>
      <c r="E571">
        <v>3</v>
      </c>
      <c r="F571" t="s">
        <v>31</v>
      </c>
      <c r="G571" t="s">
        <v>28</v>
      </c>
      <c r="H571" t="s">
        <v>15</v>
      </c>
      <c r="I571">
        <v>2</v>
      </c>
      <c r="J571" t="s">
        <v>49</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39</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39</v>
      </c>
      <c r="C576" t="s">
        <v>37</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39</v>
      </c>
      <c r="C577" t="s">
        <v>38</v>
      </c>
      <c r="D577" s="3">
        <v>60000</v>
      </c>
      <c r="E577">
        <v>2</v>
      </c>
      <c r="F577" t="s">
        <v>19</v>
      </c>
      <c r="G577" t="s">
        <v>21</v>
      </c>
      <c r="H577" t="s">
        <v>15</v>
      </c>
      <c r="I577">
        <v>1</v>
      </c>
      <c r="J577" t="s">
        <v>49</v>
      </c>
      <c r="K577" t="s">
        <v>32</v>
      </c>
      <c r="L577">
        <v>56</v>
      </c>
      <c r="M577" t="str">
        <f t="shared" si="8"/>
        <v>Old</v>
      </c>
      <c r="N577" t="s">
        <v>18</v>
      </c>
    </row>
    <row r="578" spans="1:14" x14ac:dyDescent="0.35">
      <c r="A578">
        <v>18752</v>
      </c>
      <c r="B578" t="s">
        <v>39</v>
      </c>
      <c r="C578" t="s">
        <v>37</v>
      </c>
      <c r="D578" s="3">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IF(L579&gt;54,"Old",IF(L579&lt;31,"Adolescent",IF(L579&gt;=31,"Middle Aged","Invalid")))</f>
        <v>Middle Aged</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39</v>
      </c>
      <c r="C581" t="s">
        <v>37</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37</v>
      </c>
      <c r="D582" s="3">
        <v>60000</v>
      </c>
      <c r="E582">
        <v>3</v>
      </c>
      <c r="F582" t="s">
        <v>31</v>
      </c>
      <c r="G582" t="s">
        <v>28</v>
      </c>
      <c r="H582" t="s">
        <v>15</v>
      </c>
      <c r="I582">
        <v>2</v>
      </c>
      <c r="J582" t="s">
        <v>49</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38</v>
      </c>
      <c r="D585" s="3">
        <v>60000</v>
      </c>
      <c r="E585">
        <v>3</v>
      </c>
      <c r="F585" t="s">
        <v>13</v>
      </c>
      <c r="G585" t="s">
        <v>28</v>
      </c>
      <c r="H585" t="s">
        <v>15</v>
      </c>
      <c r="I585">
        <v>2</v>
      </c>
      <c r="J585" t="s">
        <v>49</v>
      </c>
      <c r="K585" t="s">
        <v>32</v>
      </c>
      <c r="L585">
        <v>66</v>
      </c>
      <c r="M585" t="str">
        <f t="shared" si="9"/>
        <v>Old</v>
      </c>
      <c r="N585" t="s">
        <v>18</v>
      </c>
    </row>
    <row r="586" spans="1:14" x14ac:dyDescent="0.35">
      <c r="A586">
        <v>28667</v>
      </c>
      <c r="B586" t="s">
        <v>39</v>
      </c>
      <c r="C586" t="s">
        <v>38</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39</v>
      </c>
      <c r="C587" t="s">
        <v>38</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37</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37</v>
      </c>
      <c r="D590" s="3">
        <v>90000</v>
      </c>
      <c r="E590">
        <v>2</v>
      </c>
      <c r="F590" t="s">
        <v>27</v>
      </c>
      <c r="G590" t="s">
        <v>21</v>
      </c>
      <c r="H590" t="s">
        <v>15</v>
      </c>
      <c r="I590">
        <v>1</v>
      </c>
      <c r="J590" t="s">
        <v>49</v>
      </c>
      <c r="K590" t="s">
        <v>32</v>
      </c>
      <c r="L590">
        <v>51</v>
      </c>
      <c r="M590" t="str">
        <f t="shared" si="9"/>
        <v>Middle Aged</v>
      </c>
      <c r="N590" t="s">
        <v>15</v>
      </c>
    </row>
    <row r="591" spans="1:14" x14ac:dyDescent="0.35">
      <c r="A591">
        <v>12100</v>
      </c>
      <c r="B591" t="s">
        <v>39</v>
      </c>
      <c r="C591" t="s">
        <v>38</v>
      </c>
      <c r="D591" s="3">
        <v>60000</v>
      </c>
      <c r="E591">
        <v>2</v>
      </c>
      <c r="F591" t="s">
        <v>13</v>
      </c>
      <c r="G591" t="s">
        <v>28</v>
      </c>
      <c r="H591" t="s">
        <v>15</v>
      </c>
      <c r="I591">
        <v>0</v>
      </c>
      <c r="J591" t="s">
        <v>49</v>
      </c>
      <c r="K591" t="s">
        <v>32</v>
      </c>
      <c r="L591">
        <v>57</v>
      </c>
      <c r="M591" t="str">
        <f t="shared" si="9"/>
        <v>Old</v>
      </c>
      <c r="N591" t="s">
        <v>18</v>
      </c>
    </row>
    <row r="592" spans="1:14" x14ac:dyDescent="0.35">
      <c r="A592">
        <v>23158</v>
      </c>
      <c r="B592" t="s">
        <v>36</v>
      </c>
      <c r="C592" t="s">
        <v>37</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38</v>
      </c>
      <c r="D593" s="3">
        <v>40000</v>
      </c>
      <c r="E593">
        <v>4</v>
      </c>
      <c r="F593" t="s">
        <v>27</v>
      </c>
      <c r="G593" t="s">
        <v>21</v>
      </c>
      <c r="H593" t="s">
        <v>18</v>
      </c>
      <c r="I593">
        <v>2</v>
      </c>
      <c r="J593" t="s">
        <v>49</v>
      </c>
      <c r="K593" t="s">
        <v>32</v>
      </c>
      <c r="L593">
        <v>61</v>
      </c>
      <c r="M593" t="str">
        <f t="shared" si="9"/>
        <v>Old</v>
      </c>
      <c r="N593" t="s">
        <v>15</v>
      </c>
    </row>
    <row r="594" spans="1:14" x14ac:dyDescent="0.35">
      <c r="A594">
        <v>18391</v>
      </c>
      <c r="B594" t="s">
        <v>39</v>
      </c>
      <c r="C594" t="s">
        <v>37</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39</v>
      </c>
      <c r="C595" t="s">
        <v>37</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39</v>
      </c>
      <c r="C597" t="s">
        <v>37</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37</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39</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37</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39</v>
      </c>
      <c r="C603" t="s">
        <v>38</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39</v>
      </c>
      <c r="C604" t="s">
        <v>38</v>
      </c>
      <c r="D604" s="3">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39</v>
      </c>
      <c r="C607" t="s">
        <v>38</v>
      </c>
      <c r="D607" s="3">
        <v>70000</v>
      </c>
      <c r="E607">
        <v>3</v>
      </c>
      <c r="F607" t="s">
        <v>27</v>
      </c>
      <c r="G607" t="s">
        <v>21</v>
      </c>
      <c r="H607" t="s">
        <v>15</v>
      </c>
      <c r="I607">
        <v>0</v>
      </c>
      <c r="J607" t="s">
        <v>23</v>
      </c>
      <c r="K607" t="s">
        <v>32</v>
      </c>
      <c r="L607">
        <v>52</v>
      </c>
      <c r="M607" t="str">
        <f t="shared" si="9"/>
        <v>Middle Aged</v>
      </c>
      <c r="N607" t="s">
        <v>15</v>
      </c>
    </row>
    <row r="608" spans="1:14" x14ac:dyDescent="0.35">
      <c r="A608">
        <v>11644</v>
      </c>
      <c r="B608" t="s">
        <v>39</v>
      </c>
      <c r="C608" t="s">
        <v>38</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39</v>
      </c>
      <c r="C609" t="s">
        <v>37</v>
      </c>
      <c r="D609" s="3">
        <v>70000</v>
      </c>
      <c r="E609">
        <v>5</v>
      </c>
      <c r="F609" t="s">
        <v>31</v>
      </c>
      <c r="G609" t="s">
        <v>21</v>
      </c>
      <c r="H609" t="s">
        <v>15</v>
      </c>
      <c r="I609">
        <v>3</v>
      </c>
      <c r="J609" t="s">
        <v>49</v>
      </c>
      <c r="K609" t="s">
        <v>32</v>
      </c>
      <c r="L609">
        <v>46</v>
      </c>
      <c r="M609" t="str">
        <f t="shared" si="9"/>
        <v>Middle Aged</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37</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39</v>
      </c>
      <c r="C614" t="s">
        <v>37</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39</v>
      </c>
      <c r="C615" t="s">
        <v>38</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37</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39</v>
      </c>
      <c r="C617" t="s">
        <v>37</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39</v>
      </c>
      <c r="C618" t="s">
        <v>37</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39</v>
      </c>
      <c r="C620" t="s">
        <v>37</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39</v>
      </c>
      <c r="C621" t="s">
        <v>37</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37</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37</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39</v>
      </c>
      <c r="C626" t="s">
        <v>37</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37</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37</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39</v>
      </c>
      <c r="C630" t="s">
        <v>38</v>
      </c>
      <c r="D630" s="3">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37</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39</v>
      </c>
      <c r="C633" t="s">
        <v>38</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39</v>
      </c>
      <c r="C634" t="s">
        <v>37</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37</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39</v>
      </c>
      <c r="C637" t="s">
        <v>37</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39</v>
      </c>
      <c r="C638" t="s">
        <v>37</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39</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39</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37</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49</v>
      </c>
      <c r="K643" t="s">
        <v>32</v>
      </c>
      <c r="L643">
        <v>64</v>
      </c>
      <c r="M643" t="str">
        <f t="shared" ref="M643:M706" si="10">IF(L643&gt;54,"Old",IF(L643&lt;31,"Adolescent",IF(L643&gt;=31,"Middle Aged","Invalid")))</f>
        <v>Old</v>
      </c>
      <c r="N643" t="s">
        <v>18</v>
      </c>
    </row>
    <row r="644" spans="1:14" x14ac:dyDescent="0.35">
      <c r="A644">
        <v>21741</v>
      </c>
      <c r="B644" t="s">
        <v>36</v>
      </c>
      <c r="C644" t="s">
        <v>37</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37</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37</v>
      </c>
      <c r="D646" s="3">
        <v>60000</v>
      </c>
      <c r="E646">
        <v>5</v>
      </c>
      <c r="F646" t="s">
        <v>13</v>
      </c>
      <c r="G646" t="s">
        <v>14</v>
      </c>
      <c r="H646" t="s">
        <v>15</v>
      </c>
      <c r="I646">
        <v>3</v>
      </c>
      <c r="J646" t="s">
        <v>49</v>
      </c>
      <c r="K646" t="s">
        <v>32</v>
      </c>
      <c r="L646">
        <v>41</v>
      </c>
      <c r="M646" t="str">
        <f t="shared" si="10"/>
        <v>Middle Aged</v>
      </c>
      <c r="N646" t="s">
        <v>18</v>
      </c>
    </row>
    <row r="647" spans="1:14" x14ac:dyDescent="0.35">
      <c r="A647">
        <v>16217</v>
      </c>
      <c r="B647" t="s">
        <v>39</v>
      </c>
      <c r="C647" t="s">
        <v>37</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39</v>
      </c>
      <c r="C648" t="s">
        <v>37</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39</v>
      </c>
      <c r="C649" t="s">
        <v>38</v>
      </c>
      <c r="D649" s="3">
        <v>40000</v>
      </c>
      <c r="E649">
        <v>0</v>
      </c>
      <c r="F649" t="s">
        <v>27</v>
      </c>
      <c r="G649" t="s">
        <v>14</v>
      </c>
      <c r="H649" t="s">
        <v>15</v>
      </c>
      <c r="I649">
        <v>2</v>
      </c>
      <c r="J649" t="s">
        <v>23</v>
      </c>
      <c r="K649" t="s">
        <v>32</v>
      </c>
      <c r="L649">
        <v>31</v>
      </c>
      <c r="M649" t="str">
        <f t="shared" si="10"/>
        <v>Middle Aged</v>
      </c>
      <c r="N649" t="s">
        <v>18</v>
      </c>
    </row>
    <row r="650" spans="1:14" x14ac:dyDescent="0.35">
      <c r="A650">
        <v>25872</v>
      </c>
      <c r="B650" t="s">
        <v>39</v>
      </c>
      <c r="C650" t="s">
        <v>37</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39</v>
      </c>
      <c r="C651" t="s">
        <v>37</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39</v>
      </c>
      <c r="C652" t="s">
        <v>37</v>
      </c>
      <c r="D652" s="3">
        <v>70000</v>
      </c>
      <c r="E652">
        <v>5</v>
      </c>
      <c r="F652" t="s">
        <v>31</v>
      </c>
      <c r="G652" t="s">
        <v>28</v>
      </c>
      <c r="H652" t="s">
        <v>15</v>
      </c>
      <c r="I652">
        <v>2</v>
      </c>
      <c r="J652" t="s">
        <v>49</v>
      </c>
      <c r="K652" t="s">
        <v>32</v>
      </c>
      <c r="L652">
        <v>67</v>
      </c>
      <c r="M652" t="str">
        <f t="shared" si="10"/>
        <v>Old</v>
      </c>
      <c r="N652" t="s">
        <v>15</v>
      </c>
    </row>
    <row r="653" spans="1:14" x14ac:dyDescent="0.35">
      <c r="A653">
        <v>14284</v>
      </c>
      <c r="B653" t="s">
        <v>39</v>
      </c>
      <c r="C653" t="s">
        <v>38</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39</v>
      </c>
      <c r="C655" t="s">
        <v>38</v>
      </c>
      <c r="D655" s="3">
        <v>30000</v>
      </c>
      <c r="E655">
        <v>0</v>
      </c>
      <c r="F655" t="s">
        <v>27</v>
      </c>
      <c r="G655" t="s">
        <v>14</v>
      </c>
      <c r="H655" t="s">
        <v>18</v>
      </c>
      <c r="I655">
        <v>2</v>
      </c>
      <c r="J655" t="s">
        <v>26</v>
      </c>
      <c r="K655" t="s">
        <v>32</v>
      </c>
      <c r="L655">
        <v>31</v>
      </c>
      <c r="M655" t="str">
        <f t="shared" si="10"/>
        <v>Middle Aged</v>
      </c>
      <c r="N655" t="s">
        <v>15</v>
      </c>
    </row>
    <row r="656" spans="1:14" x14ac:dyDescent="0.35">
      <c r="A656">
        <v>29106</v>
      </c>
      <c r="B656" t="s">
        <v>39</v>
      </c>
      <c r="C656" t="s">
        <v>38</v>
      </c>
      <c r="D656" s="3">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37</v>
      </c>
      <c r="D657" s="3">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39</v>
      </c>
      <c r="C660" t="s">
        <v>38</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39</v>
      </c>
      <c r="C661" t="s">
        <v>37</v>
      </c>
      <c r="D661" s="3">
        <v>60000</v>
      </c>
      <c r="E661">
        <v>4</v>
      </c>
      <c r="F661" t="s">
        <v>13</v>
      </c>
      <c r="G661" t="s">
        <v>28</v>
      </c>
      <c r="H661" t="s">
        <v>15</v>
      </c>
      <c r="I661">
        <v>2</v>
      </c>
      <c r="J661" t="s">
        <v>49</v>
      </c>
      <c r="K661" t="s">
        <v>32</v>
      </c>
      <c r="L661">
        <v>63</v>
      </c>
      <c r="M661" t="str">
        <f t="shared" si="10"/>
        <v>Old</v>
      </c>
      <c r="N661" t="s">
        <v>18</v>
      </c>
    </row>
    <row r="662" spans="1:14" x14ac:dyDescent="0.35">
      <c r="A662">
        <v>21599</v>
      </c>
      <c r="B662" t="s">
        <v>36</v>
      </c>
      <c r="C662" t="s">
        <v>37</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39</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39</v>
      </c>
      <c r="C664" t="s">
        <v>37</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37</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37</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37</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37</v>
      </c>
      <c r="D669" s="3">
        <v>40000</v>
      </c>
      <c r="E669">
        <v>5</v>
      </c>
      <c r="F669" t="s">
        <v>27</v>
      </c>
      <c r="G669" t="s">
        <v>21</v>
      </c>
      <c r="H669" t="s">
        <v>18</v>
      </c>
      <c r="I669">
        <v>2</v>
      </c>
      <c r="J669" t="s">
        <v>49</v>
      </c>
      <c r="K669" t="s">
        <v>32</v>
      </c>
      <c r="L669">
        <v>61</v>
      </c>
      <c r="M669" t="str">
        <f t="shared" si="10"/>
        <v>Old</v>
      </c>
      <c r="N669" t="s">
        <v>18</v>
      </c>
    </row>
    <row r="670" spans="1:14" x14ac:dyDescent="0.35">
      <c r="A670">
        <v>14592</v>
      </c>
      <c r="B670" t="s">
        <v>36</v>
      </c>
      <c r="C670" t="s">
        <v>37</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37</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38</v>
      </c>
      <c r="D672" s="3">
        <v>70000</v>
      </c>
      <c r="E672">
        <v>2</v>
      </c>
      <c r="F672" t="s">
        <v>19</v>
      </c>
      <c r="G672" t="s">
        <v>21</v>
      </c>
      <c r="H672" t="s">
        <v>15</v>
      </c>
      <c r="I672">
        <v>1</v>
      </c>
      <c r="J672" t="s">
        <v>49</v>
      </c>
      <c r="K672" t="s">
        <v>32</v>
      </c>
      <c r="L672">
        <v>59</v>
      </c>
      <c r="M672" t="str">
        <f t="shared" si="10"/>
        <v>Old</v>
      </c>
      <c r="N672" t="s">
        <v>18</v>
      </c>
    </row>
    <row r="673" spans="1:14" x14ac:dyDescent="0.35">
      <c r="A673">
        <v>22252</v>
      </c>
      <c r="B673" t="s">
        <v>39</v>
      </c>
      <c r="C673" t="s">
        <v>37</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39</v>
      </c>
      <c r="C674" t="s">
        <v>37</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39</v>
      </c>
      <c r="C675" t="s">
        <v>37</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37</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49</v>
      </c>
      <c r="K681" t="s">
        <v>32</v>
      </c>
      <c r="L681">
        <v>60</v>
      </c>
      <c r="M681" t="str">
        <f t="shared" si="10"/>
        <v>Old</v>
      </c>
      <c r="N681" t="s">
        <v>18</v>
      </c>
    </row>
    <row r="682" spans="1:14" x14ac:dyDescent="0.35">
      <c r="A682">
        <v>11165</v>
      </c>
      <c r="B682" t="s">
        <v>36</v>
      </c>
      <c r="C682" t="s">
        <v>37</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39</v>
      </c>
      <c r="C683" t="s">
        <v>37</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37</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39</v>
      </c>
      <c r="C686" t="s">
        <v>37</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39</v>
      </c>
      <c r="C687" t="s">
        <v>37</v>
      </c>
      <c r="D687" s="3">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37</v>
      </c>
      <c r="D688" s="3">
        <v>40000</v>
      </c>
      <c r="E688">
        <v>1</v>
      </c>
      <c r="F688" t="s">
        <v>19</v>
      </c>
      <c r="G688" t="s">
        <v>20</v>
      </c>
      <c r="H688" t="s">
        <v>15</v>
      </c>
      <c r="I688">
        <v>1</v>
      </c>
      <c r="J688" t="s">
        <v>26</v>
      </c>
      <c r="K688" t="s">
        <v>32</v>
      </c>
      <c r="L688">
        <v>51</v>
      </c>
      <c r="M688" t="str">
        <f t="shared" si="10"/>
        <v>Middle Aged</v>
      </c>
      <c r="N688" t="s">
        <v>15</v>
      </c>
    </row>
    <row r="689" spans="1:14" x14ac:dyDescent="0.35">
      <c r="A689">
        <v>18910</v>
      </c>
      <c r="B689" t="s">
        <v>39</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39</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39</v>
      </c>
      <c r="C692" t="s">
        <v>37</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39</v>
      </c>
      <c r="C695" t="s">
        <v>37</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39</v>
      </c>
      <c r="C696" t="s">
        <v>37</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39</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37</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39</v>
      </c>
      <c r="C701" t="s">
        <v>38</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37</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39</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39</v>
      </c>
      <c r="C705" t="s">
        <v>37</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39</v>
      </c>
      <c r="C706" t="s">
        <v>37</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37</v>
      </c>
      <c r="D707" s="3">
        <v>70000</v>
      </c>
      <c r="E707">
        <v>4</v>
      </c>
      <c r="F707" t="s">
        <v>13</v>
      </c>
      <c r="G707" t="s">
        <v>28</v>
      </c>
      <c r="H707" t="s">
        <v>15</v>
      </c>
      <c r="I707">
        <v>1</v>
      </c>
      <c r="J707" t="s">
        <v>49</v>
      </c>
      <c r="K707" t="s">
        <v>32</v>
      </c>
      <c r="L707">
        <v>59</v>
      </c>
      <c r="M707" t="str">
        <f t="shared" ref="M707:M770" si="11">IF(L707&gt;54,"Old",IF(L707&lt;31,"Adolescent",IF(L707&gt;=31,"Middle Aged","Invalid")))</f>
        <v>Old</v>
      </c>
      <c r="N707" t="s">
        <v>18</v>
      </c>
    </row>
    <row r="708" spans="1:14" x14ac:dyDescent="0.35">
      <c r="A708">
        <v>20296</v>
      </c>
      <c r="B708" t="s">
        <v>39</v>
      </c>
      <c r="C708" t="s">
        <v>37</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37</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38</v>
      </c>
      <c r="D710" s="3">
        <v>70000</v>
      </c>
      <c r="E710">
        <v>5</v>
      </c>
      <c r="F710" t="s">
        <v>13</v>
      </c>
      <c r="G710" t="s">
        <v>28</v>
      </c>
      <c r="H710" t="s">
        <v>15</v>
      </c>
      <c r="I710">
        <v>4</v>
      </c>
      <c r="J710" t="s">
        <v>49</v>
      </c>
      <c r="K710" t="s">
        <v>32</v>
      </c>
      <c r="L710">
        <v>60</v>
      </c>
      <c r="M710" t="str">
        <f t="shared" si="11"/>
        <v>Old</v>
      </c>
      <c r="N710" t="s">
        <v>18</v>
      </c>
    </row>
    <row r="711" spans="1:14" x14ac:dyDescent="0.35">
      <c r="A711">
        <v>23712</v>
      </c>
      <c r="B711" t="s">
        <v>39</v>
      </c>
      <c r="C711" t="s">
        <v>37</v>
      </c>
      <c r="D711" s="3">
        <v>70000</v>
      </c>
      <c r="E711">
        <v>2</v>
      </c>
      <c r="F711" t="s">
        <v>13</v>
      </c>
      <c r="G711" t="s">
        <v>28</v>
      </c>
      <c r="H711" t="s">
        <v>15</v>
      </c>
      <c r="I711">
        <v>1</v>
      </c>
      <c r="J711" t="s">
        <v>49</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37</v>
      </c>
      <c r="D713" s="3">
        <v>70000</v>
      </c>
      <c r="E713">
        <v>2</v>
      </c>
      <c r="F713" t="s">
        <v>19</v>
      </c>
      <c r="G713" t="s">
        <v>21</v>
      </c>
      <c r="H713" t="s">
        <v>15</v>
      </c>
      <c r="I713">
        <v>1</v>
      </c>
      <c r="J713" t="s">
        <v>49</v>
      </c>
      <c r="K713" t="s">
        <v>32</v>
      </c>
      <c r="L713">
        <v>58</v>
      </c>
      <c r="M713" t="str">
        <f t="shared" si="11"/>
        <v>Old</v>
      </c>
      <c r="N713" t="s">
        <v>18</v>
      </c>
    </row>
    <row r="714" spans="1:14" x14ac:dyDescent="0.35">
      <c r="A714">
        <v>28026</v>
      </c>
      <c r="B714" t="s">
        <v>36</v>
      </c>
      <c r="C714" t="s">
        <v>37</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39</v>
      </c>
      <c r="C715" t="s">
        <v>37</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37</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39</v>
      </c>
      <c r="C718" t="s">
        <v>37</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39</v>
      </c>
      <c r="C719" t="s">
        <v>38</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37</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39</v>
      </c>
      <c r="C722" t="s">
        <v>37</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39</v>
      </c>
      <c r="C723" t="s">
        <v>38</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39</v>
      </c>
      <c r="C724" t="s">
        <v>37</v>
      </c>
      <c r="D724" s="3">
        <v>70000</v>
      </c>
      <c r="E724">
        <v>3</v>
      </c>
      <c r="F724" t="s">
        <v>31</v>
      </c>
      <c r="G724" t="s">
        <v>28</v>
      </c>
      <c r="H724" t="s">
        <v>18</v>
      </c>
      <c r="I724">
        <v>2</v>
      </c>
      <c r="J724" t="s">
        <v>26</v>
      </c>
      <c r="K724" t="s">
        <v>32</v>
      </c>
      <c r="L724">
        <v>53</v>
      </c>
      <c r="M724" t="str">
        <f t="shared" si="11"/>
        <v>Middle Aged</v>
      </c>
      <c r="N724" t="s">
        <v>18</v>
      </c>
    </row>
    <row r="725" spans="1:14" x14ac:dyDescent="0.35">
      <c r="A725">
        <v>26678</v>
      </c>
      <c r="B725" t="s">
        <v>39</v>
      </c>
      <c r="C725" t="s">
        <v>37</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37</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39</v>
      </c>
      <c r="C732" t="s">
        <v>37</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39</v>
      </c>
      <c r="C734" t="s">
        <v>37</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39</v>
      </c>
      <c r="C735" t="s">
        <v>38</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39</v>
      </c>
      <c r="C736" t="s">
        <v>37</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39</v>
      </c>
      <c r="C737" t="s">
        <v>37</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39</v>
      </c>
      <c r="C740" t="s">
        <v>37</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37</v>
      </c>
      <c r="D741" s="3">
        <v>60000</v>
      </c>
      <c r="E741">
        <v>2</v>
      </c>
      <c r="F741" t="s">
        <v>19</v>
      </c>
      <c r="G741" t="s">
        <v>21</v>
      </c>
      <c r="H741" t="s">
        <v>15</v>
      </c>
      <c r="I741">
        <v>1</v>
      </c>
      <c r="J741" t="s">
        <v>49</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37</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39</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37</v>
      </c>
      <c r="D746" s="3">
        <v>70000</v>
      </c>
      <c r="E746">
        <v>4</v>
      </c>
      <c r="F746" t="s">
        <v>19</v>
      </c>
      <c r="G746" t="s">
        <v>21</v>
      </c>
      <c r="H746" t="s">
        <v>15</v>
      </c>
      <c r="I746">
        <v>1</v>
      </c>
      <c r="J746" t="s">
        <v>49</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37</v>
      </c>
      <c r="D748" s="3">
        <v>60000</v>
      </c>
      <c r="E748">
        <v>2</v>
      </c>
      <c r="F748" t="s">
        <v>13</v>
      </c>
      <c r="G748" t="s">
        <v>28</v>
      </c>
      <c r="H748" t="s">
        <v>15</v>
      </c>
      <c r="I748">
        <v>0</v>
      </c>
      <c r="J748" t="s">
        <v>49</v>
      </c>
      <c r="K748" t="s">
        <v>32</v>
      </c>
      <c r="L748">
        <v>56</v>
      </c>
      <c r="M748" t="str">
        <f t="shared" si="11"/>
        <v>Old</v>
      </c>
      <c r="N748" t="s">
        <v>18</v>
      </c>
    </row>
    <row r="749" spans="1:14" x14ac:dyDescent="0.35">
      <c r="A749">
        <v>12957</v>
      </c>
      <c r="B749" t="s">
        <v>39</v>
      </c>
      <c r="C749" t="s">
        <v>37</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37</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39</v>
      </c>
      <c r="C755" t="s">
        <v>37</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37</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39</v>
      </c>
      <c r="C759" t="s">
        <v>38</v>
      </c>
      <c r="D759" s="3">
        <v>30000</v>
      </c>
      <c r="E759">
        <v>1</v>
      </c>
      <c r="F759" t="s">
        <v>27</v>
      </c>
      <c r="G759" t="s">
        <v>20</v>
      </c>
      <c r="H759" t="s">
        <v>15</v>
      </c>
      <c r="I759">
        <v>2</v>
      </c>
      <c r="J759" t="s">
        <v>26</v>
      </c>
      <c r="K759" t="s">
        <v>32</v>
      </c>
      <c r="L759">
        <v>51</v>
      </c>
      <c r="M759" t="str">
        <f t="shared" si="11"/>
        <v>Middle Aged</v>
      </c>
      <c r="N759" t="s">
        <v>15</v>
      </c>
    </row>
    <row r="760" spans="1:14" x14ac:dyDescent="0.35">
      <c r="A760">
        <v>21714</v>
      </c>
      <c r="B760" t="s">
        <v>39</v>
      </c>
      <c r="C760" t="s">
        <v>37</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39</v>
      </c>
      <c r="C761" t="s">
        <v>37</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39</v>
      </c>
      <c r="C762" t="s">
        <v>38</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37</v>
      </c>
      <c r="D763" s="3">
        <v>60000</v>
      </c>
      <c r="E763">
        <v>5</v>
      </c>
      <c r="F763" t="s">
        <v>13</v>
      </c>
      <c r="G763" t="s">
        <v>28</v>
      </c>
      <c r="H763" t="s">
        <v>15</v>
      </c>
      <c r="I763">
        <v>3</v>
      </c>
      <c r="J763" t="s">
        <v>49</v>
      </c>
      <c r="K763" t="s">
        <v>32</v>
      </c>
      <c r="L763">
        <v>59</v>
      </c>
      <c r="M763" t="str">
        <f t="shared" si="11"/>
        <v>Old</v>
      </c>
      <c r="N763" t="s">
        <v>18</v>
      </c>
    </row>
    <row r="764" spans="1:14" x14ac:dyDescent="0.35">
      <c r="A764">
        <v>20657</v>
      </c>
      <c r="B764" t="s">
        <v>39</v>
      </c>
      <c r="C764" t="s">
        <v>38</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37</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39</v>
      </c>
      <c r="C767" t="s">
        <v>37</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38</v>
      </c>
      <c r="D768" s="3">
        <v>50000</v>
      </c>
      <c r="E768">
        <v>4</v>
      </c>
      <c r="F768" t="s">
        <v>13</v>
      </c>
      <c r="G768" t="s">
        <v>14</v>
      </c>
      <c r="H768" t="s">
        <v>15</v>
      </c>
      <c r="I768">
        <v>3</v>
      </c>
      <c r="J768" t="s">
        <v>49</v>
      </c>
      <c r="K768" t="s">
        <v>32</v>
      </c>
      <c r="L768">
        <v>42</v>
      </c>
      <c r="M768" t="str">
        <f t="shared" si="11"/>
        <v>Middle Aged</v>
      </c>
      <c r="N768" t="s">
        <v>18</v>
      </c>
    </row>
    <row r="769" spans="1:14" x14ac:dyDescent="0.35">
      <c r="A769">
        <v>24979</v>
      </c>
      <c r="B769" t="s">
        <v>36</v>
      </c>
      <c r="C769" t="s">
        <v>37</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37</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37</v>
      </c>
      <c r="D771" s="3">
        <v>100000</v>
      </c>
      <c r="E771">
        <v>4</v>
      </c>
      <c r="F771" t="s">
        <v>13</v>
      </c>
      <c r="G771" t="s">
        <v>28</v>
      </c>
      <c r="H771" t="s">
        <v>15</v>
      </c>
      <c r="I771">
        <v>4</v>
      </c>
      <c r="J771" t="s">
        <v>16</v>
      </c>
      <c r="K771" t="s">
        <v>32</v>
      </c>
      <c r="L771">
        <v>40</v>
      </c>
      <c r="M771" t="str">
        <f t="shared" ref="M771:M834" si="12">IF(L771&gt;54,"Old",IF(L771&lt;31,"Adolescent",IF(L771&gt;=31,"Middle Aged","Invalid")))</f>
        <v>Middle Aged</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39</v>
      </c>
      <c r="C774" t="s">
        <v>38</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37</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37</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38</v>
      </c>
      <c r="D777" s="3">
        <v>70000</v>
      </c>
      <c r="E777">
        <v>2</v>
      </c>
      <c r="F777" t="s">
        <v>29</v>
      </c>
      <c r="G777" t="s">
        <v>14</v>
      </c>
      <c r="H777" t="s">
        <v>15</v>
      </c>
      <c r="I777">
        <v>2</v>
      </c>
      <c r="J777" t="s">
        <v>49</v>
      </c>
      <c r="K777" t="s">
        <v>32</v>
      </c>
      <c r="L777">
        <v>54</v>
      </c>
      <c r="M777" t="str">
        <f t="shared" si="12"/>
        <v>Middle Aged</v>
      </c>
      <c r="N777" t="s">
        <v>18</v>
      </c>
    </row>
    <row r="778" spans="1:14" x14ac:dyDescent="0.35">
      <c r="A778">
        <v>26490</v>
      </c>
      <c r="B778" t="s">
        <v>39</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39</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37</v>
      </c>
      <c r="D782" s="3">
        <v>60000</v>
      </c>
      <c r="E782">
        <v>2</v>
      </c>
      <c r="F782" t="s">
        <v>19</v>
      </c>
      <c r="G782" t="s">
        <v>21</v>
      </c>
      <c r="H782" t="s">
        <v>15</v>
      </c>
      <c r="I782">
        <v>1</v>
      </c>
      <c r="J782" t="s">
        <v>49</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39</v>
      </c>
      <c r="C784" t="s">
        <v>38</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39</v>
      </c>
      <c r="C786" t="s">
        <v>37</v>
      </c>
      <c r="D786" s="3">
        <v>10000</v>
      </c>
      <c r="E786">
        <v>2</v>
      </c>
      <c r="F786" t="s">
        <v>27</v>
      </c>
      <c r="G786" t="s">
        <v>25</v>
      </c>
      <c r="H786" t="s">
        <v>15</v>
      </c>
      <c r="I786">
        <v>2</v>
      </c>
      <c r="J786" t="s">
        <v>26</v>
      </c>
      <c r="K786" t="s">
        <v>32</v>
      </c>
      <c r="L786">
        <v>53</v>
      </c>
      <c r="M786" t="str">
        <f t="shared" si="12"/>
        <v>Middle Aged</v>
      </c>
      <c r="N786" t="s">
        <v>15</v>
      </c>
    </row>
    <row r="787" spans="1:14" x14ac:dyDescent="0.35">
      <c r="A787">
        <v>24496</v>
      </c>
      <c r="B787" t="s">
        <v>39</v>
      </c>
      <c r="C787" t="s">
        <v>37</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37</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39</v>
      </c>
      <c r="C789" t="s">
        <v>37</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39</v>
      </c>
      <c r="C790" t="s">
        <v>37</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39</v>
      </c>
      <c r="C792" t="s">
        <v>37</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39</v>
      </c>
      <c r="C794" t="s">
        <v>38</v>
      </c>
      <c r="D794" s="3">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39</v>
      </c>
      <c r="C797" t="s">
        <v>38</v>
      </c>
      <c r="D797" s="3">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39</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39</v>
      </c>
      <c r="C800" t="s">
        <v>37</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39</v>
      </c>
      <c r="C801" t="s">
        <v>37</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39</v>
      </c>
      <c r="C802" t="s">
        <v>38</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39</v>
      </c>
      <c r="C807" t="s">
        <v>37</v>
      </c>
      <c r="D807" s="3">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37</v>
      </c>
      <c r="D808" s="3">
        <v>10000</v>
      </c>
      <c r="E808">
        <v>2</v>
      </c>
      <c r="F808" t="s">
        <v>27</v>
      </c>
      <c r="G808" t="s">
        <v>25</v>
      </c>
      <c r="H808" t="s">
        <v>15</v>
      </c>
      <c r="I808">
        <v>2</v>
      </c>
      <c r="J808" t="s">
        <v>26</v>
      </c>
      <c r="K808" t="s">
        <v>32</v>
      </c>
      <c r="L808">
        <v>53</v>
      </c>
      <c r="M808" t="str">
        <f t="shared" si="12"/>
        <v>Middle Aged</v>
      </c>
      <c r="N808" t="s">
        <v>18</v>
      </c>
    </row>
    <row r="809" spans="1:14" x14ac:dyDescent="0.35">
      <c r="A809">
        <v>21417</v>
      </c>
      <c r="B809" t="s">
        <v>39</v>
      </c>
      <c r="C809" t="s">
        <v>37</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39</v>
      </c>
      <c r="C810" t="s">
        <v>38</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37</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39</v>
      </c>
      <c r="C812" t="s">
        <v>37</v>
      </c>
      <c r="D812" s="3">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35">
      <c r="A814">
        <v>15749</v>
      </c>
      <c r="B814" t="s">
        <v>39</v>
      </c>
      <c r="C814" t="s">
        <v>37</v>
      </c>
      <c r="D814" s="3">
        <v>70000</v>
      </c>
      <c r="E814">
        <v>4</v>
      </c>
      <c r="F814" t="s">
        <v>13</v>
      </c>
      <c r="G814" t="s">
        <v>28</v>
      </c>
      <c r="H814" t="s">
        <v>15</v>
      </c>
      <c r="I814">
        <v>2</v>
      </c>
      <c r="J814" t="s">
        <v>49</v>
      </c>
      <c r="K814" t="s">
        <v>32</v>
      </c>
      <c r="L814">
        <v>61</v>
      </c>
      <c r="M814" t="str">
        <f t="shared" si="12"/>
        <v>Old</v>
      </c>
      <c r="N814" t="s">
        <v>18</v>
      </c>
    </row>
    <row r="815" spans="1:14" x14ac:dyDescent="0.35">
      <c r="A815">
        <v>25899</v>
      </c>
      <c r="B815" t="s">
        <v>36</v>
      </c>
      <c r="C815" t="s">
        <v>37</v>
      </c>
      <c r="D815" s="3">
        <v>70000</v>
      </c>
      <c r="E815">
        <v>2</v>
      </c>
      <c r="F815" t="s">
        <v>27</v>
      </c>
      <c r="G815" t="s">
        <v>21</v>
      </c>
      <c r="H815" t="s">
        <v>15</v>
      </c>
      <c r="I815">
        <v>2</v>
      </c>
      <c r="J815" t="s">
        <v>49</v>
      </c>
      <c r="K815" t="s">
        <v>32</v>
      </c>
      <c r="L815">
        <v>53</v>
      </c>
      <c r="M815" t="str">
        <f t="shared" si="12"/>
        <v>Middle Aged</v>
      </c>
      <c r="N815" t="s">
        <v>18</v>
      </c>
    </row>
    <row r="816" spans="1:14" x14ac:dyDescent="0.35">
      <c r="A816">
        <v>13351</v>
      </c>
      <c r="B816" t="s">
        <v>39</v>
      </c>
      <c r="C816" t="s">
        <v>37</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37</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37</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39</v>
      </c>
      <c r="C821" t="s">
        <v>37</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39</v>
      </c>
      <c r="C822" t="s">
        <v>38</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39</v>
      </c>
      <c r="C825" t="s">
        <v>37</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39</v>
      </c>
      <c r="C826" t="s">
        <v>38</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39</v>
      </c>
      <c r="C829" t="s">
        <v>37</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39</v>
      </c>
      <c r="C830" t="s">
        <v>37</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39</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37</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37</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39</v>
      </c>
      <c r="C835" t="s">
        <v>37</v>
      </c>
      <c r="D835" s="3">
        <v>70000</v>
      </c>
      <c r="E835">
        <v>0</v>
      </c>
      <c r="F835" t="s">
        <v>13</v>
      </c>
      <c r="G835" t="s">
        <v>21</v>
      </c>
      <c r="H835" t="s">
        <v>18</v>
      </c>
      <c r="I835">
        <v>1</v>
      </c>
      <c r="J835" t="s">
        <v>16</v>
      </c>
      <c r="K835" t="s">
        <v>32</v>
      </c>
      <c r="L835">
        <v>37</v>
      </c>
      <c r="M835" t="str">
        <f t="shared" ref="M835:M898" si="13">IF(L835&gt;54,"Old",IF(L835&lt;31,"Adolescent",IF(L835&gt;=31,"Middle Aged","Invalid")))</f>
        <v>Middle Aged</v>
      </c>
      <c r="N835" t="s">
        <v>15</v>
      </c>
    </row>
    <row r="836" spans="1:14" x14ac:dyDescent="0.35">
      <c r="A836">
        <v>19889</v>
      </c>
      <c r="B836" t="s">
        <v>39</v>
      </c>
      <c r="C836" t="s">
        <v>37</v>
      </c>
      <c r="D836" s="3">
        <v>70000</v>
      </c>
      <c r="E836">
        <v>2</v>
      </c>
      <c r="F836" t="s">
        <v>29</v>
      </c>
      <c r="G836" t="s">
        <v>14</v>
      </c>
      <c r="H836" t="s">
        <v>18</v>
      </c>
      <c r="I836">
        <v>2</v>
      </c>
      <c r="J836" t="s">
        <v>22</v>
      </c>
      <c r="K836" t="s">
        <v>32</v>
      </c>
      <c r="L836">
        <v>54</v>
      </c>
      <c r="M836" t="str">
        <f t="shared" si="13"/>
        <v>Middle Aged</v>
      </c>
      <c r="N836" t="s">
        <v>15</v>
      </c>
    </row>
    <row r="837" spans="1:14" x14ac:dyDescent="0.35">
      <c r="A837">
        <v>12922</v>
      </c>
      <c r="B837" t="s">
        <v>39</v>
      </c>
      <c r="C837" t="s">
        <v>37</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37</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39</v>
      </c>
      <c r="C840" t="s">
        <v>37</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39</v>
      </c>
      <c r="C841" t="s">
        <v>37</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38</v>
      </c>
      <c r="D842" s="3">
        <v>70000</v>
      </c>
      <c r="E842">
        <v>4</v>
      </c>
      <c r="F842" t="s">
        <v>19</v>
      </c>
      <c r="G842" t="s">
        <v>21</v>
      </c>
      <c r="H842" t="s">
        <v>15</v>
      </c>
      <c r="I842">
        <v>2</v>
      </c>
      <c r="J842" t="s">
        <v>49</v>
      </c>
      <c r="K842" t="s">
        <v>32</v>
      </c>
      <c r="L842">
        <v>53</v>
      </c>
      <c r="M842" t="str">
        <f t="shared" si="13"/>
        <v>Middle Aged</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37</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39</v>
      </c>
      <c r="C845" t="s">
        <v>38</v>
      </c>
      <c r="D845" s="3">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37</v>
      </c>
      <c r="D846" s="3">
        <v>40000</v>
      </c>
      <c r="E846">
        <v>5</v>
      </c>
      <c r="F846" t="s">
        <v>27</v>
      </c>
      <c r="G846" t="s">
        <v>21</v>
      </c>
      <c r="H846" t="s">
        <v>15</v>
      </c>
      <c r="I846">
        <v>2</v>
      </c>
      <c r="J846" t="s">
        <v>49</v>
      </c>
      <c r="K846" t="s">
        <v>32</v>
      </c>
      <c r="L846">
        <v>60</v>
      </c>
      <c r="M846" t="str">
        <f t="shared" si="13"/>
        <v>Old</v>
      </c>
      <c r="N846" t="s">
        <v>18</v>
      </c>
    </row>
    <row r="847" spans="1:14" x14ac:dyDescent="0.35">
      <c r="A847">
        <v>25343</v>
      </c>
      <c r="B847" t="s">
        <v>39</v>
      </c>
      <c r="C847" t="s">
        <v>37</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37</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39</v>
      </c>
      <c r="C849" t="s">
        <v>37</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39</v>
      </c>
      <c r="C850" t="s">
        <v>38</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37</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39</v>
      </c>
      <c r="C852" t="s">
        <v>37</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39</v>
      </c>
      <c r="C854" t="s">
        <v>38</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39</v>
      </c>
      <c r="C855" t="s">
        <v>38</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37</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39</v>
      </c>
      <c r="C857" t="s">
        <v>37</v>
      </c>
      <c r="D857" s="3">
        <v>30000</v>
      </c>
      <c r="E857">
        <v>0</v>
      </c>
      <c r="F857" t="s">
        <v>19</v>
      </c>
      <c r="G857" t="s">
        <v>14</v>
      </c>
      <c r="H857" t="s">
        <v>18</v>
      </c>
      <c r="I857">
        <v>1</v>
      </c>
      <c r="J857" t="s">
        <v>26</v>
      </c>
      <c r="K857" t="s">
        <v>32</v>
      </c>
      <c r="L857">
        <v>31</v>
      </c>
      <c r="M857" t="str">
        <f t="shared" si="13"/>
        <v>Middle Aged</v>
      </c>
      <c r="N857" t="s">
        <v>18</v>
      </c>
    </row>
    <row r="858" spans="1:14" x14ac:dyDescent="0.35">
      <c r="A858">
        <v>29052</v>
      </c>
      <c r="B858" t="s">
        <v>39</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37</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39</v>
      </c>
      <c r="C862" t="s">
        <v>38</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37</v>
      </c>
      <c r="D863" s="3">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39</v>
      </c>
      <c r="C865" t="s">
        <v>38</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39</v>
      </c>
      <c r="C866" t="s">
        <v>38</v>
      </c>
      <c r="D866" s="3">
        <v>40000</v>
      </c>
      <c r="E866">
        <v>0</v>
      </c>
      <c r="F866" t="s">
        <v>27</v>
      </c>
      <c r="G866" t="s">
        <v>14</v>
      </c>
      <c r="H866" t="s">
        <v>15</v>
      </c>
      <c r="I866">
        <v>2</v>
      </c>
      <c r="J866" t="s">
        <v>23</v>
      </c>
      <c r="K866" t="s">
        <v>32</v>
      </c>
      <c r="L866">
        <v>31</v>
      </c>
      <c r="M866" t="str">
        <f t="shared" si="13"/>
        <v>Middle Aged</v>
      </c>
      <c r="N866" t="s">
        <v>18</v>
      </c>
    </row>
    <row r="867" spans="1:14" x14ac:dyDescent="0.35">
      <c r="A867">
        <v>22046</v>
      </c>
      <c r="B867" t="s">
        <v>39</v>
      </c>
      <c r="C867" t="s">
        <v>37</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38</v>
      </c>
      <c r="D868" s="3">
        <v>60000</v>
      </c>
      <c r="E868">
        <v>2</v>
      </c>
      <c r="F868" t="s">
        <v>27</v>
      </c>
      <c r="G868" t="s">
        <v>21</v>
      </c>
      <c r="H868" t="s">
        <v>15</v>
      </c>
      <c r="I868">
        <v>2</v>
      </c>
      <c r="J868" t="s">
        <v>49</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39</v>
      </c>
      <c r="C870" t="s">
        <v>38</v>
      </c>
      <c r="D870" s="3">
        <v>30000</v>
      </c>
      <c r="E870">
        <v>5</v>
      </c>
      <c r="F870" t="s">
        <v>29</v>
      </c>
      <c r="G870" t="s">
        <v>14</v>
      </c>
      <c r="H870" t="s">
        <v>15</v>
      </c>
      <c r="I870">
        <v>3</v>
      </c>
      <c r="J870" t="s">
        <v>49</v>
      </c>
      <c r="K870" t="s">
        <v>32</v>
      </c>
      <c r="L870">
        <v>60</v>
      </c>
      <c r="M870" t="str">
        <f t="shared" si="13"/>
        <v>Old</v>
      </c>
      <c r="N870" t="s">
        <v>15</v>
      </c>
    </row>
    <row r="871" spans="1:14" x14ac:dyDescent="0.35">
      <c r="A871">
        <v>26065</v>
      </c>
      <c r="B871" t="s">
        <v>39</v>
      </c>
      <c r="C871" t="s">
        <v>37</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38</v>
      </c>
      <c r="D873" s="3">
        <v>60000</v>
      </c>
      <c r="E873">
        <v>2</v>
      </c>
      <c r="F873" t="s">
        <v>27</v>
      </c>
      <c r="G873" t="s">
        <v>21</v>
      </c>
      <c r="H873" t="s">
        <v>15</v>
      </c>
      <c r="I873">
        <v>2</v>
      </c>
      <c r="J873" t="s">
        <v>49</v>
      </c>
      <c r="K873" t="s">
        <v>32</v>
      </c>
      <c r="L873">
        <v>55</v>
      </c>
      <c r="M873" t="str">
        <f t="shared" si="13"/>
        <v>Old</v>
      </c>
      <c r="N873" t="s">
        <v>18</v>
      </c>
    </row>
    <row r="874" spans="1:14" x14ac:dyDescent="0.35">
      <c r="A874">
        <v>22118</v>
      </c>
      <c r="B874" t="s">
        <v>39</v>
      </c>
      <c r="C874" t="s">
        <v>37</v>
      </c>
      <c r="D874" s="3">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37</v>
      </c>
      <c r="D876" s="3">
        <v>30000</v>
      </c>
      <c r="E876">
        <v>1</v>
      </c>
      <c r="F876" t="s">
        <v>13</v>
      </c>
      <c r="G876" t="s">
        <v>14</v>
      </c>
      <c r="H876" t="s">
        <v>15</v>
      </c>
      <c r="I876">
        <v>1</v>
      </c>
      <c r="J876" t="s">
        <v>23</v>
      </c>
      <c r="K876" t="s">
        <v>32</v>
      </c>
      <c r="L876">
        <v>53</v>
      </c>
      <c r="M876" t="str">
        <f t="shared" si="13"/>
        <v>Middle Aged</v>
      </c>
      <c r="N876" t="s">
        <v>15</v>
      </c>
    </row>
    <row r="877" spans="1:14" x14ac:dyDescent="0.35">
      <c r="A877">
        <v>27279</v>
      </c>
      <c r="B877" t="s">
        <v>39</v>
      </c>
      <c r="C877" t="s">
        <v>37</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39</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37</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37</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37</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39</v>
      </c>
      <c r="C890" t="s">
        <v>37</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37</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37</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39</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39</v>
      </c>
      <c r="C894" t="s">
        <v>37</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37</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37</v>
      </c>
      <c r="D898" s="3">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IF(L899&gt;54,"Old",IF(L899&lt;31,"Adolescent",IF(L899&gt;=31,"Middle Aged","Invalid")))</f>
        <v>Adolescent</v>
      </c>
      <c r="N899" t="s">
        <v>18</v>
      </c>
    </row>
    <row r="900" spans="1:14" x14ac:dyDescent="0.35">
      <c r="A900">
        <v>18066</v>
      </c>
      <c r="B900" t="s">
        <v>39</v>
      </c>
      <c r="C900" t="s">
        <v>38</v>
      </c>
      <c r="D900" s="3">
        <v>70000</v>
      </c>
      <c r="E900">
        <v>5</v>
      </c>
      <c r="F900" t="s">
        <v>13</v>
      </c>
      <c r="G900" t="s">
        <v>28</v>
      </c>
      <c r="H900" t="s">
        <v>15</v>
      </c>
      <c r="I900">
        <v>3</v>
      </c>
      <c r="J900" t="s">
        <v>49</v>
      </c>
      <c r="K900" t="s">
        <v>32</v>
      </c>
      <c r="L900">
        <v>60</v>
      </c>
      <c r="M900" t="str">
        <f t="shared" si="14"/>
        <v>Old</v>
      </c>
      <c r="N900" t="s">
        <v>15</v>
      </c>
    </row>
    <row r="901" spans="1:14" x14ac:dyDescent="0.35">
      <c r="A901">
        <v>28192</v>
      </c>
      <c r="B901" t="s">
        <v>36</v>
      </c>
      <c r="C901" t="s">
        <v>37</v>
      </c>
      <c r="D901" s="3">
        <v>70000</v>
      </c>
      <c r="E901">
        <v>5</v>
      </c>
      <c r="F901" t="s">
        <v>31</v>
      </c>
      <c r="G901" t="s">
        <v>21</v>
      </c>
      <c r="H901" t="s">
        <v>15</v>
      </c>
      <c r="I901">
        <v>3</v>
      </c>
      <c r="J901" t="s">
        <v>49</v>
      </c>
      <c r="K901" t="s">
        <v>32</v>
      </c>
      <c r="L901">
        <v>46</v>
      </c>
      <c r="M901" t="str">
        <f t="shared" si="14"/>
        <v>Middle Aged</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39</v>
      </c>
      <c r="C903" t="s">
        <v>37</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39</v>
      </c>
      <c r="C904" t="s">
        <v>38</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39</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39</v>
      </c>
      <c r="C906" t="s">
        <v>37</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39</v>
      </c>
      <c r="C907" t="s">
        <v>38</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38</v>
      </c>
      <c r="D909" s="3">
        <v>50000</v>
      </c>
      <c r="E909">
        <v>4</v>
      </c>
      <c r="F909" t="s">
        <v>13</v>
      </c>
      <c r="G909" t="s">
        <v>28</v>
      </c>
      <c r="H909" t="s">
        <v>15</v>
      </c>
      <c r="I909">
        <v>2</v>
      </c>
      <c r="J909" t="s">
        <v>49</v>
      </c>
      <c r="K909" t="s">
        <v>32</v>
      </c>
      <c r="L909">
        <v>63</v>
      </c>
      <c r="M909" t="str">
        <f t="shared" si="14"/>
        <v>Old</v>
      </c>
      <c r="N909" t="s">
        <v>18</v>
      </c>
    </row>
    <row r="910" spans="1:14" x14ac:dyDescent="0.35">
      <c r="A910">
        <v>23195</v>
      </c>
      <c r="B910" t="s">
        <v>39</v>
      </c>
      <c r="C910" t="s">
        <v>38</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37</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37</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39</v>
      </c>
      <c r="C915" t="s">
        <v>38</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39</v>
      </c>
      <c r="C916" t="s">
        <v>38</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38</v>
      </c>
      <c r="D917" s="3">
        <v>60000</v>
      </c>
      <c r="E917">
        <v>3</v>
      </c>
      <c r="F917" t="s">
        <v>31</v>
      </c>
      <c r="G917" t="s">
        <v>28</v>
      </c>
      <c r="H917" t="s">
        <v>15</v>
      </c>
      <c r="I917">
        <v>2</v>
      </c>
      <c r="J917" t="s">
        <v>49</v>
      </c>
      <c r="K917" t="s">
        <v>32</v>
      </c>
      <c r="L917">
        <v>64</v>
      </c>
      <c r="M917" t="str">
        <f t="shared" si="14"/>
        <v>Old</v>
      </c>
      <c r="N917" t="s">
        <v>18</v>
      </c>
    </row>
    <row r="918" spans="1:14" x14ac:dyDescent="0.35">
      <c r="A918">
        <v>27273</v>
      </c>
      <c r="B918" t="s">
        <v>39</v>
      </c>
      <c r="C918" t="s">
        <v>38</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39</v>
      </c>
      <c r="C919" t="s">
        <v>38</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37</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37</v>
      </c>
      <c r="D921" s="3">
        <v>40000</v>
      </c>
      <c r="E921">
        <v>4</v>
      </c>
      <c r="F921" t="s">
        <v>27</v>
      </c>
      <c r="G921" t="s">
        <v>21</v>
      </c>
      <c r="H921" t="s">
        <v>15</v>
      </c>
      <c r="I921">
        <v>2</v>
      </c>
      <c r="J921" t="s">
        <v>49</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5">
      <c r="A923">
        <v>12153</v>
      </c>
      <c r="B923" t="s">
        <v>39</v>
      </c>
      <c r="C923" t="s">
        <v>37</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37</v>
      </c>
      <c r="D924" s="3">
        <v>40000</v>
      </c>
      <c r="E924">
        <v>3</v>
      </c>
      <c r="F924" t="s">
        <v>19</v>
      </c>
      <c r="G924" t="s">
        <v>21</v>
      </c>
      <c r="H924" t="s">
        <v>18</v>
      </c>
      <c r="I924">
        <v>2</v>
      </c>
      <c r="J924" t="s">
        <v>26</v>
      </c>
      <c r="K924" t="s">
        <v>32</v>
      </c>
      <c r="L924">
        <v>54</v>
      </c>
      <c r="M924" t="str">
        <f t="shared" si="14"/>
        <v>Middle Aged</v>
      </c>
      <c r="N924" t="s">
        <v>15</v>
      </c>
    </row>
    <row r="925" spans="1:14" x14ac:dyDescent="0.35">
      <c r="A925">
        <v>26728</v>
      </c>
      <c r="B925" t="s">
        <v>39</v>
      </c>
      <c r="C925" t="s">
        <v>38</v>
      </c>
      <c r="D925" s="3">
        <v>70000</v>
      </c>
      <c r="E925">
        <v>3</v>
      </c>
      <c r="F925" t="s">
        <v>31</v>
      </c>
      <c r="G925" t="s">
        <v>28</v>
      </c>
      <c r="H925" t="s">
        <v>18</v>
      </c>
      <c r="I925">
        <v>2</v>
      </c>
      <c r="J925" t="s">
        <v>26</v>
      </c>
      <c r="K925" t="s">
        <v>32</v>
      </c>
      <c r="L925">
        <v>53</v>
      </c>
      <c r="M925" t="str">
        <f t="shared" si="14"/>
        <v>Middle Aged</v>
      </c>
      <c r="N925" t="s">
        <v>15</v>
      </c>
    </row>
    <row r="926" spans="1:14" x14ac:dyDescent="0.35">
      <c r="A926">
        <v>11090</v>
      </c>
      <c r="B926" t="s">
        <v>39</v>
      </c>
      <c r="C926" t="s">
        <v>38</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39</v>
      </c>
      <c r="C927" t="s">
        <v>37</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39</v>
      </c>
      <c r="C928" t="s">
        <v>37</v>
      </c>
      <c r="D928" s="3">
        <v>40000</v>
      </c>
      <c r="E928">
        <v>2</v>
      </c>
      <c r="F928" t="s">
        <v>27</v>
      </c>
      <c r="G928" t="s">
        <v>21</v>
      </c>
      <c r="H928" t="s">
        <v>15</v>
      </c>
      <c r="I928">
        <v>2</v>
      </c>
      <c r="J928" t="s">
        <v>49</v>
      </c>
      <c r="K928" t="s">
        <v>32</v>
      </c>
      <c r="L928">
        <v>57</v>
      </c>
      <c r="M928" t="str">
        <f t="shared" si="14"/>
        <v>Old</v>
      </c>
      <c r="N928" t="s">
        <v>18</v>
      </c>
    </row>
    <row r="929" spans="1:14" x14ac:dyDescent="0.35">
      <c r="A929">
        <v>11823</v>
      </c>
      <c r="B929" t="s">
        <v>36</v>
      </c>
      <c r="C929" t="s">
        <v>37</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38</v>
      </c>
      <c r="D932" s="3">
        <v>70000</v>
      </c>
      <c r="E932">
        <v>5</v>
      </c>
      <c r="F932" t="s">
        <v>31</v>
      </c>
      <c r="G932" t="s">
        <v>21</v>
      </c>
      <c r="H932" t="s">
        <v>18</v>
      </c>
      <c r="I932">
        <v>3</v>
      </c>
      <c r="J932" t="s">
        <v>49</v>
      </c>
      <c r="K932" t="s">
        <v>32</v>
      </c>
      <c r="L932">
        <v>47</v>
      </c>
      <c r="M932" t="str">
        <f t="shared" si="14"/>
        <v>Middle Aged</v>
      </c>
      <c r="N932" t="s">
        <v>18</v>
      </c>
    </row>
    <row r="933" spans="1:14" x14ac:dyDescent="0.35">
      <c r="A933">
        <v>14914</v>
      </c>
      <c r="B933" t="s">
        <v>36</v>
      </c>
      <c r="C933" t="s">
        <v>37</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39</v>
      </c>
      <c r="C934" t="s">
        <v>37</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39</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37</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37</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37</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39</v>
      </c>
      <c r="C941" t="s">
        <v>38</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39</v>
      </c>
      <c r="C942" t="s">
        <v>37</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37</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37</v>
      </c>
      <c r="D944" s="3">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37</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37</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39</v>
      </c>
      <c r="C947" t="s">
        <v>38</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37</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39</v>
      </c>
      <c r="C949" t="s">
        <v>37</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39</v>
      </c>
      <c r="C950" t="s">
        <v>37</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38</v>
      </c>
      <c r="D951" s="3">
        <v>70000</v>
      </c>
      <c r="E951">
        <v>2</v>
      </c>
      <c r="F951" t="s">
        <v>29</v>
      </c>
      <c r="G951" t="s">
        <v>14</v>
      </c>
      <c r="H951" t="s">
        <v>15</v>
      </c>
      <c r="I951">
        <v>2</v>
      </c>
      <c r="J951" t="s">
        <v>49</v>
      </c>
      <c r="K951" t="s">
        <v>32</v>
      </c>
      <c r="L951">
        <v>53</v>
      </c>
      <c r="M951" t="str">
        <f t="shared" si="14"/>
        <v>Middle Aged</v>
      </c>
      <c r="N951" t="s">
        <v>18</v>
      </c>
    </row>
    <row r="952" spans="1:14" x14ac:dyDescent="0.35">
      <c r="A952">
        <v>11788</v>
      </c>
      <c r="B952" t="s">
        <v>39</v>
      </c>
      <c r="C952" t="s">
        <v>37</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37</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39</v>
      </c>
      <c r="C955" t="s">
        <v>37</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37</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37</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37</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39</v>
      </c>
      <c r="C962" t="s">
        <v>38</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37</v>
      </c>
      <c r="D963" s="3">
        <v>120000</v>
      </c>
      <c r="E963">
        <v>2</v>
      </c>
      <c r="F963" t="s">
        <v>13</v>
      </c>
      <c r="G963" t="s">
        <v>28</v>
      </c>
      <c r="H963" t="s">
        <v>15</v>
      </c>
      <c r="I963">
        <v>3</v>
      </c>
      <c r="J963" t="s">
        <v>23</v>
      </c>
      <c r="K963" t="s">
        <v>32</v>
      </c>
      <c r="L963">
        <v>62</v>
      </c>
      <c r="M963" t="str">
        <f t="shared" ref="M963:M1001" si="15">IF(L963&gt;54,"Old",IF(L963&lt;31,"Adolescent",IF(L963&gt;=31,"Middle Aged","Invalid")))</f>
        <v>Old</v>
      </c>
      <c r="N963" t="s">
        <v>18</v>
      </c>
    </row>
    <row r="964" spans="1:14" x14ac:dyDescent="0.35">
      <c r="A964">
        <v>16813</v>
      </c>
      <c r="B964" t="s">
        <v>36</v>
      </c>
      <c r="C964" t="s">
        <v>38</v>
      </c>
      <c r="D964" s="3">
        <v>60000</v>
      </c>
      <c r="E964">
        <v>2</v>
      </c>
      <c r="F964" t="s">
        <v>19</v>
      </c>
      <c r="G964" t="s">
        <v>21</v>
      </c>
      <c r="H964" t="s">
        <v>15</v>
      </c>
      <c r="I964">
        <v>2</v>
      </c>
      <c r="J964" t="s">
        <v>49</v>
      </c>
      <c r="K964" t="s">
        <v>32</v>
      </c>
      <c r="L964">
        <v>55</v>
      </c>
      <c r="M964" t="str">
        <f t="shared" si="15"/>
        <v>Old</v>
      </c>
      <c r="N964" t="s">
        <v>18</v>
      </c>
    </row>
    <row r="965" spans="1:14" x14ac:dyDescent="0.35">
      <c r="A965">
        <v>16007</v>
      </c>
      <c r="B965" t="s">
        <v>36</v>
      </c>
      <c r="C965" t="s">
        <v>37</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39</v>
      </c>
      <c r="C966" t="s">
        <v>38</v>
      </c>
      <c r="D966" s="3">
        <v>70000</v>
      </c>
      <c r="E966">
        <v>4</v>
      </c>
      <c r="F966" t="s">
        <v>19</v>
      </c>
      <c r="G966" t="s">
        <v>21</v>
      </c>
      <c r="H966" t="s">
        <v>15</v>
      </c>
      <c r="I966">
        <v>1</v>
      </c>
      <c r="J966" t="s">
        <v>49</v>
      </c>
      <c r="K966" t="s">
        <v>32</v>
      </c>
      <c r="L966">
        <v>56</v>
      </c>
      <c r="M966" t="str">
        <f t="shared" si="15"/>
        <v>Old</v>
      </c>
      <c r="N966" t="s">
        <v>18</v>
      </c>
    </row>
    <row r="967" spans="1:14" x14ac:dyDescent="0.35">
      <c r="A967">
        <v>27756</v>
      </c>
      <c r="B967" t="s">
        <v>39</v>
      </c>
      <c r="C967" t="s">
        <v>37</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37</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39</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37</v>
      </c>
      <c r="D972" s="3">
        <v>60000</v>
      </c>
      <c r="E972">
        <v>0</v>
      </c>
      <c r="F972" t="s">
        <v>19</v>
      </c>
      <c r="G972" t="s">
        <v>14</v>
      </c>
      <c r="H972" t="s">
        <v>15</v>
      </c>
      <c r="I972">
        <v>2</v>
      </c>
      <c r="J972" t="s">
        <v>23</v>
      </c>
      <c r="K972" t="s">
        <v>32</v>
      </c>
      <c r="L972">
        <v>31</v>
      </c>
      <c r="M972" t="str">
        <f t="shared" si="15"/>
        <v>Middle Aged</v>
      </c>
      <c r="N972" t="s">
        <v>18</v>
      </c>
    </row>
    <row r="973" spans="1:14" x14ac:dyDescent="0.35">
      <c r="A973">
        <v>12192</v>
      </c>
      <c r="B973" t="s">
        <v>39</v>
      </c>
      <c r="C973" t="s">
        <v>37</v>
      </c>
      <c r="D973" s="3">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37</v>
      </c>
      <c r="D974" s="3">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37</v>
      </c>
      <c r="D978" s="3">
        <v>60000</v>
      </c>
      <c r="E978">
        <v>3</v>
      </c>
      <c r="F978" t="s">
        <v>13</v>
      </c>
      <c r="G978" t="s">
        <v>28</v>
      </c>
      <c r="H978" t="s">
        <v>15</v>
      </c>
      <c r="I978">
        <v>2</v>
      </c>
      <c r="J978" t="s">
        <v>49</v>
      </c>
      <c r="K978" t="s">
        <v>32</v>
      </c>
      <c r="L978">
        <v>66</v>
      </c>
      <c r="M978" t="str">
        <f t="shared" si="15"/>
        <v>Old</v>
      </c>
      <c r="N978" t="s">
        <v>18</v>
      </c>
    </row>
    <row r="979" spans="1:14" x14ac:dyDescent="0.35">
      <c r="A979">
        <v>19741</v>
      </c>
      <c r="B979" t="s">
        <v>39</v>
      </c>
      <c r="C979" t="s">
        <v>37</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39</v>
      </c>
      <c r="C981" t="s">
        <v>38</v>
      </c>
      <c r="D981" s="3">
        <v>40000</v>
      </c>
      <c r="E981">
        <v>0</v>
      </c>
      <c r="F981" t="s">
        <v>27</v>
      </c>
      <c r="G981" t="s">
        <v>14</v>
      </c>
      <c r="H981" t="s">
        <v>15</v>
      </c>
      <c r="I981">
        <v>1</v>
      </c>
      <c r="J981" t="s">
        <v>23</v>
      </c>
      <c r="K981" t="s">
        <v>32</v>
      </c>
      <c r="L981">
        <v>31</v>
      </c>
      <c r="M981" t="str">
        <f t="shared" si="15"/>
        <v>Middle Aged</v>
      </c>
      <c r="N981" t="s">
        <v>18</v>
      </c>
    </row>
    <row r="982" spans="1:14" x14ac:dyDescent="0.35">
      <c r="A982">
        <v>18594</v>
      </c>
      <c r="B982" t="s">
        <v>39</v>
      </c>
      <c r="C982" t="s">
        <v>37</v>
      </c>
      <c r="D982" s="3">
        <v>80000</v>
      </c>
      <c r="E982">
        <v>3</v>
      </c>
      <c r="F982" t="s">
        <v>13</v>
      </c>
      <c r="G982" t="s">
        <v>14</v>
      </c>
      <c r="H982" t="s">
        <v>15</v>
      </c>
      <c r="I982">
        <v>3</v>
      </c>
      <c r="J982" t="s">
        <v>49</v>
      </c>
      <c r="K982" t="s">
        <v>32</v>
      </c>
      <c r="L982">
        <v>40</v>
      </c>
      <c r="M982" t="str">
        <f t="shared" si="15"/>
        <v>Middle Aged</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39</v>
      </c>
      <c r="C984" t="s">
        <v>38</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39</v>
      </c>
      <c r="C987" t="s">
        <v>37</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39</v>
      </c>
      <c r="C988" t="s">
        <v>38</v>
      </c>
      <c r="D988" s="3">
        <v>40000</v>
      </c>
      <c r="E988">
        <v>5</v>
      </c>
      <c r="F988" t="s">
        <v>27</v>
      </c>
      <c r="G988" t="s">
        <v>21</v>
      </c>
      <c r="H988" t="s">
        <v>15</v>
      </c>
      <c r="I988">
        <v>4</v>
      </c>
      <c r="J988" t="s">
        <v>49</v>
      </c>
      <c r="K988" t="s">
        <v>32</v>
      </c>
      <c r="L988">
        <v>60</v>
      </c>
      <c r="M988" t="str">
        <f t="shared" si="15"/>
        <v>Old</v>
      </c>
      <c r="N988" t="s">
        <v>15</v>
      </c>
    </row>
    <row r="989" spans="1:14" x14ac:dyDescent="0.35">
      <c r="A989">
        <v>28972</v>
      </c>
      <c r="B989" t="s">
        <v>39</v>
      </c>
      <c r="C989" t="s">
        <v>37</v>
      </c>
      <c r="D989" s="3">
        <v>60000</v>
      </c>
      <c r="E989">
        <v>3</v>
      </c>
      <c r="F989" t="s">
        <v>31</v>
      </c>
      <c r="G989" t="s">
        <v>28</v>
      </c>
      <c r="H989" t="s">
        <v>15</v>
      </c>
      <c r="I989">
        <v>2</v>
      </c>
      <c r="J989" t="s">
        <v>49</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49</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49</v>
      </c>
      <c r="K991" t="s">
        <v>32</v>
      </c>
      <c r="L991">
        <v>42</v>
      </c>
      <c r="M991" t="str">
        <f t="shared" si="15"/>
        <v>Middle Aged</v>
      </c>
      <c r="N991" t="s">
        <v>18</v>
      </c>
    </row>
    <row r="992" spans="1:14" x14ac:dyDescent="0.35">
      <c r="A992">
        <v>14332</v>
      </c>
      <c r="B992" t="s">
        <v>39</v>
      </c>
      <c r="C992" t="s">
        <v>37</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39</v>
      </c>
      <c r="C993" t="s">
        <v>37</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39</v>
      </c>
      <c r="C995" t="s">
        <v>38</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39</v>
      </c>
      <c r="C998" t="s">
        <v>38</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39</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39</v>
      </c>
      <c r="C1001" t="s">
        <v>38</v>
      </c>
      <c r="D1001" s="3">
        <v>60000</v>
      </c>
      <c r="E1001">
        <v>3</v>
      </c>
      <c r="F1001" t="s">
        <v>27</v>
      </c>
      <c r="G1001" t="s">
        <v>21</v>
      </c>
      <c r="H1001" t="s">
        <v>15</v>
      </c>
      <c r="I1001">
        <v>2</v>
      </c>
      <c r="J1001" t="s">
        <v>49</v>
      </c>
      <c r="K1001" t="s">
        <v>32</v>
      </c>
      <c r="L1001">
        <v>53</v>
      </c>
      <c r="M1001" t="str">
        <f t="shared" si="15"/>
        <v>Middle Aged</v>
      </c>
      <c r="N1001" t="s">
        <v>15</v>
      </c>
    </row>
  </sheetData>
  <autoFilter ref="A1:N1001" xr:uid="{F5DB284F-CA96-45F3-9671-514D9FA091A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46BC9-4178-4BF6-AFD8-0BBCCA24C205}">
  <dimension ref="A1:D110"/>
  <sheetViews>
    <sheetView topLeftCell="A97" zoomScale="90" zoomScaleNormal="90" workbookViewId="0">
      <selection activeCell="H120" sqref="H120"/>
    </sheetView>
  </sheetViews>
  <sheetFormatPr defaultRowHeight="14.5" x14ac:dyDescent="0.35"/>
  <cols>
    <col min="1" max="1" width="16.6328125" bestFit="1" customWidth="1"/>
    <col min="2" max="2" width="15.81640625" bestFit="1" customWidth="1"/>
    <col min="3" max="3" width="7.453125" bestFit="1" customWidth="1"/>
    <col min="4" max="5" width="11" bestFit="1" customWidth="1"/>
  </cols>
  <sheetData>
    <row r="1" spans="1:4" x14ac:dyDescent="0.35">
      <c r="A1" s="4" t="s">
        <v>43</v>
      </c>
      <c r="B1" s="4" t="s">
        <v>44</v>
      </c>
    </row>
    <row r="2" spans="1:4" x14ac:dyDescent="0.35">
      <c r="A2" s="4" t="s">
        <v>41</v>
      </c>
      <c r="B2" t="s">
        <v>18</v>
      </c>
      <c r="C2" t="s">
        <v>15</v>
      </c>
      <c r="D2" t="s">
        <v>42</v>
      </c>
    </row>
    <row r="3" spans="1:4" x14ac:dyDescent="0.35">
      <c r="A3" s="5" t="s">
        <v>37</v>
      </c>
      <c r="B3" s="3">
        <v>40481.927710843374</v>
      </c>
      <c r="C3" s="3">
        <v>39135.8024691358</v>
      </c>
      <c r="D3" s="3">
        <v>39817.07317073171</v>
      </c>
    </row>
    <row r="4" spans="1:4" x14ac:dyDescent="0.35">
      <c r="A4" s="5" t="s">
        <v>38</v>
      </c>
      <c r="B4" s="3">
        <v>38260.869565217392</v>
      </c>
      <c r="C4" s="3">
        <v>46268.656716417907</v>
      </c>
      <c r="D4" s="3">
        <v>42205.882352941175</v>
      </c>
    </row>
    <row r="5" spans="1:4" x14ac:dyDescent="0.35">
      <c r="A5" s="5" t="s">
        <v>42</v>
      </c>
      <c r="B5" s="3">
        <v>39473.684210526313</v>
      </c>
      <c r="C5" s="3">
        <v>42364.864864864867</v>
      </c>
      <c r="D5" s="3">
        <v>40900</v>
      </c>
    </row>
    <row r="21" spans="1:4" x14ac:dyDescent="0.35">
      <c r="A21" s="4" t="s">
        <v>48</v>
      </c>
      <c r="B21" s="4" t="s">
        <v>44</v>
      </c>
    </row>
    <row r="22" spans="1:4" x14ac:dyDescent="0.35">
      <c r="A22" s="4" t="s">
        <v>41</v>
      </c>
      <c r="B22" t="s">
        <v>18</v>
      </c>
      <c r="C22" t="s">
        <v>15</v>
      </c>
      <c r="D22" t="s">
        <v>42</v>
      </c>
    </row>
    <row r="23" spans="1:4" x14ac:dyDescent="0.35">
      <c r="A23" s="5" t="s">
        <v>16</v>
      </c>
      <c r="B23" s="6">
        <v>83</v>
      </c>
      <c r="C23" s="6">
        <v>105</v>
      </c>
      <c r="D23" s="6">
        <v>188</v>
      </c>
    </row>
    <row r="24" spans="1:4" x14ac:dyDescent="0.35">
      <c r="A24" s="5" t="s">
        <v>26</v>
      </c>
      <c r="B24" s="6">
        <v>22</v>
      </c>
      <c r="C24" s="6">
        <v>16</v>
      </c>
      <c r="D24" s="6">
        <v>38</v>
      </c>
    </row>
    <row r="25" spans="1:4" x14ac:dyDescent="0.35">
      <c r="A25" s="5" t="s">
        <v>22</v>
      </c>
      <c r="B25" s="6">
        <v>26</v>
      </c>
      <c r="C25" s="6">
        <v>14</v>
      </c>
      <c r="D25" s="6">
        <v>40</v>
      </c>
    </row>
    <row r="26" spans="1:4" x14ac:dyDescent="0.35">
      <c r="A26" s="5" t="s">
        <v>23</v>
      </c>
      <c r="B26" s="6">
        <v>6</v>
      </c>
      <c r="C26" s="6">
        <v>10</v>
      </c>
      <c r="D26" s="6">
        <v>16</v>
      </c>
    </row>
    <row r="27" spans="1:4" x14ac:dyDescent="0.35">
      <c r="A27" s="5" t="s">
        <v>49</v>
      </c>
      <c r="B27" s="6">
        <v>15</v>
      </c>
      <c r="C27" s="6">
        <v>3</v>
      </c>
      <c r="D27" s="6">
        <v>18</v>
      </c>
    </row>
    <row r="28" spans="1:4" x14ac:dyDescent="0.35">
      <c r="A28" s="5" t="s">
        <v>42</v>
      </c>
      <c r="B28" s="6">
        <v>152</v>
      </c>
      <c r="C28" s="6">
        <v>148</v>
      </c>
      <c r="D28" s="6">
        <v>300</v>
      </c>
    </row>
    <row r="39" spans="1:4" x14ac:dyDescent="0.35">
      <c r="A39" s="4" t="s">
        <v>48</v>
      </c>
      <c r="B39" s="4" t="s">
        <v>44</v>
      </c>
    </row>
    <row r="40" spans="1:4" x14ac:dyDescent="0.35">
      <c r="A40" s="4" t="s">
        <v>41</v>
      </c>
      <c r="B40" t="s">
        <v>18</v>
      </c>
      <c r="C40" t="s">
        <v>15</v>
      </c>
      <c r="D40" t="s">
        <v>42</v>
      </c>
    </row>
    <row r="41" spans="1:4" x14ac:dyDescent="0.35">
      <c r="A41" s="5" t="s">
        <v>47</v>
      </c>
      <c r="B41" s="6">
        <v>23</v>
      </c>
      <c r="C41" s="6">
        <v>9</v>
      </c>
      <c r="D41" s="6">
        <v>32</v>
      </c>
    </row>
    <row r="42" spans="1:4" x14ac:dyDescent="0.35">
      <c r="A42" s="5" t="s">
        <v>45</v>
      </c>
      <c r="B42" s="6">
        <v>96</v>
      </c>
      <c r="C42" s="6">
        <v>127</v>
      </c>
      <c r="D42" s="6">
        <v>223</v>
      </c>
    </row>
    <row r="43" spans="1:4" x14ac:dyDescent="0.35">
      <c r="A43" s="5" t="s">
        <v>46</v>
      </c>
      <c r="B43" s="6">
        <v>33</v>
      </c>
      <c r="C43" s="6">
        <v>12</v>
      </c>
      <c r="D43" s="6">
        <v>45</v>
      </c>
    </row>
    <row r="44" spans="1:4" x14ac:dyDescent="0.35">
      <c r="A44" s="5" t="s">
        <v>42</v>
      </c>
      <c r="B44" s="6">
        <v>152</v>
      </c>
      <c r="C44" s="6">
        <v>148</v>
      </c>
      <c r="D44" s="6">
        <v>300</v>
      </c>
    </row>
    <row r="50" spans="1:4" x14ac:dyDescent="0.35">
      <c r="A50" s="4" t="s">
        <v>48</v>
      </c>
      <c r="B50" s="4" t="s">
        <v>44</v>
      </c>
    </row>
    <row r="51" spans="1:4" x14ac:dyDescent="0.35">
      <c r="A51" s="4" t="s">
        <v>41</v>
      </c>
      <c r="B51" t="s">
        <v>18</v>
      </c>
      <c r="C51" t="s">
        <v>15</v>
      </c>
      <c r="D51" t="s">
        <v>42</v>
      </c>
    </row>
    <row r="52" spans="1:4" x14ac:dyDescent="0.35">
      <c r="A52" s="5">
        <v>25</v>
      </c>
      <c r="B52" s="6">
        <v>1</v>
      </c>
      <c r="C52" s="6">
        <v>1</v>
      </c>
      <c r="D52" s="6">
        <v>2</v>
      </c>
    </row>
    <row r="53" spans="1:4" x14ac:dyDescent="0.35">
      <c r="A53" s="5">
        <v>26</v>
      </c>
      <c r="B53" s="6">
        <v>2</v>
      </c>
      <c r="C53" s="6">
        <v>1</v>
      </c>
      <c r="D53" s="6">
        <v>3</v>
      </c>
    </row>
    <row r="54" spans="1:4" x14ac:dyDescent="0.35">
      <c r="A54" s="5">
        <v>27</v>
      </c>
      <c r="B54" s="6">
        <v>3</v>
      </c>
      <c r="C54" s="6">
        <v>1</v>
      </c>
      <c r="D54" s="6">
        <v>4</v>
      </c>
    </row>
    <row r="55" spans="1:4" x14ac:dyDescent="0.35">
      <c r="A55" s="5">
        <v>28</v>
      </c>
      <c r="B55" s="6">
        <v>5</v>
      </c>
      <c r="C55" s="6">
        <v>1</v>
      </c>
      <c r="D55" s="6">
        <v>6</v>
      </c>
    </row>
    <row r="56" spans="1:4" x14ac:dyDescent="0.35">
      <c r="A56" s="5">
        <v>29</v>
      </c>
      <c r="B56" s="6">
        <v>4</v>
      </c>
      <c r="C56" s="6">
        <v>3</v>
      </c>
      <c r="D56" s="6">
        <v>7</v>
      </c>
    </row>
    <row r="57" spans="1:4" x14ac:dyDescent="0.35">
      <c r="A57" s="5">
        <v>30</v>
      </c>
      <c r="B57" s="6">
        <v>8</v>
      </c>
      <c r="C57" s="6">
        <v>2</v>
      </c>
      <c r="D57" s="6">
        <v>10</v>
      </c>
    </row>
    <row r="58" spans="1:4" x14ac:dyDescent="0.35">
      <c r="A58" s="5">
        <v>31</v>
      </c>
      <c r="B58" s="6">
        <v>2</v>
      </c>
      <c r="C58" s="6">
        <v>3</v>
      </c>
      <c r="D58" s="6">
        <v>5</v>
      </c>
    </row>
    <row r="59" spans="1:4" x14ac:dyDescent="0.35">
      <c r="A59" s="5">
        <v>32</v>
      </c>
      <c r="B59" s="6">
        <v>8</v>
      </c>
      <c r="C59" s="6">
        <v>5</v>
      </c>
      <c r="D59" s="6">
        <v>13</v>
      </c>
    </row>
    <row r="60" spans="1:4" x14ac:dyDescent="0.35">
      <c r="A60" s="5">
        <v>33</v>
      </c>
      <c r="B60" s="6">
        <v>4</v>
      </c>
      <c r="C60" s="6">
        <v>5</v>
      </c>
      <c r="D60" s="6">
        <v>9</v>
      </c>
    </row>
    <row r="61" spans="1:4" x14ac:dyDescent="0.35">
      <c r="A61" s="5">
        <v>34</v>
      </c>
      <c r="B61" s="6">
        <v>7</v>
      </c>
      <c r="C61" s="6">
        <v>3</v>
      </c>
      <c r="D61" s="6">
        <v>10</v>
      </c>
    </row>
    <row r="62" spans="1:4" x14ac:dyDescent="0.35">
      <c r="A62" s="5">
        <v>35</v>
      </c>
      <c r="B62" s="6">
        <v>7</v>
      </c>
      <c r="C62" s="6">
        <v>9</v>
      </c>
      <c r="D62" s="6">
        <v>16</v>
      </c>
    </row>
    <row r="63" spans="1:4" x14ac:dyDescent="0.35">
      <c r="A63" s="5">
        <v>36</v>
      </c>
      <c r="B63" s="6">
        <v>2</v>
      </c>
      <c r="C63" s="6">
        <v>11</v>
      </c>
      <c r="D63" s="6">
        <v>13</v>
      </c>
    </row>
    <row r="64" spans="1:4" x14ac:dyDescent="0.35">
      <c r="A64" s="5">
        <v>37</v>
      </c>
      <c r="B64" s="6">
        <v>2</v>
      </c>
      <c r="C64" s="6">
        <v>14</v>
      </c>
      <c r="D64" s="6">
        <v>16</v>
      </c>
    </row>
    <row r="65" spans="1:4" x14ac:dyDescent="0.35">
      <c r="A65" s="5">
        <v>38</v>
      </c>
      <c r="B65" s="6">
        <v>1</v>
      </c>
      <c r="C65" s="6">
        <v>13</v>
      </c>
      <c r="D65" s="6">
        <v>14</v>
      </c>
    </row>
    <row r="66" spans="1:4" x14ac:dyDescent="0.35">
      <c r="A66" s="5">
        <v>39</v>
      </c>
      <c r="B66" s="6">
        <v>3</v>
      </c>
      <c r="C66" s="6">
        <v>6</v>
      </c>
      <c r="D66" s="6">
        <v>9</v>
      </c>
    </row>
    <row r="67" spans="1:4" x14ac:dyDescent="0.35">
      <c r="A67" s="5">
        <v>40</v>
      </c>
      <c r="B67" s="6">
        <v>5</v>
      </c>
      <c r="C67" s="6">
        <v>10</v>
      </c>
      <c r="D67" s="6">
        <v>15</v>
      </c>
    </row>
    <row r="68" spans="1:4" x14ac:dyDescent="0.35">
      <c r="A68" s="5">
        <v>41</v>
      </c>
      <c r="B68" s="6">
        <v>3</v>
      </c>
      <c r="C68" s="6">
        <v>4</v>
      </c>
      <c r="D68" s="6">
        <v>7</v>
      </c>
    </row>
    <row r="69" spans="1:4" x14ac:dyDescent="0.35">
      <c r="A69" s="5">
        <v>42</v>
      </c>
      <c r="B69" s="6">
        <v>10</v>
      </c>
      <c r="C69" s="6">
        <v>4</v>
      </c>
      <c r="D69" s="6">
        <v>14</v>
      </c>
    </row>
    <row r="70" spans="1:4" x14ac:dyDescent="0.35">
      <c r="A70" s="5">
        <v>43</v>
      </c>
      <c r="B70" s="6">
        <v>10</v>
      </c>
      <c r="C70" s="6">
        <v>6</v>
      </c>
      <c r="D70" s="6">
        <v>16</v>
      </c>
    </row>
    <row r="71" spans="1:4" x14ac:dyDescent="0.35">
      <c r="A71" s="5">
        <v>44</v>
      </c>
      <c r="B71" s="6">
        <v>3</v>
      </c>
      <c r="C71" s="6">
        <v>3</v>
      </c>
      <c r="D71" s="6">
        <v>6</v>
      </c>
    </row>
    <row r="72" spans="1:4" x14ac:dyDescent="0.35">
      <c r="A72" s="5">
        <v>45</v>
      </c>
      <c r="B72" s="6">
        <v>4</v>
      </c>
      <c r="C72" s="6">
        <v>1</v>
      </c>
      <c r="D72" s="6">
        <v>5</v>
      </c>
    </row>
    <row r="73" spans="1:4" x14ac:dyDescent="0.35">
      <c r="A73" s="5">
        <v>46</v>
      </c>
      <c r="B73" s="6">
        <v>1</v>
      </c>
      <c r="C73" s="6">
        <v>6</v>
      </c>
      <c r="D73" s="6">
        <v>7</v>
      </c>
    </row>
    <row r="74" spans="1:4" x14ac:dyDescent="0.35">
      <c r="A74" s="5">
        <v>47</v>
      </c>
      <c r="B74" s="6">
        <v>2</v>
      </c>
      <c r="C74" s="6">
        <v>5</v>
      </c>
      <c r="D74" s="6">
        <v>7</v>
      </c>
    </row>
    <row r="75" spans="1:4" x14ac:dyDescent="0.35">
      <c r="A75" s="5">
        <v>48</v>
      </c>
      <c r="B75" s="6">
        <v>4</v>
      </c>
      <c r="C75" s="6">
        <v>1</v>
      </c>
      <c r="D75" s="6">
        <v>5</v>
      </c>
    </row>
    <row r="76" spans="1:4" x14ac:dyDescent="0.35">
      <c r="A76" s="5">
        <v>49</v>
      </c>
      <c r="B76" s="6">
        <v>3</v>
      </c>
      <c r="C76" s="6"/>
      <c r="D76" s="6">
        <v>3</v>
      </c>
    </row>
    <row r="77" spans="1:4" x14ac:dyDescent="0.35">
      <c r="A77" s="5">
        <v>50</v>
      </c>
      <c r="B77" s="6">
        <v>3</v>
      </c>
      <c r="C77" s="6">
        <v>4</v>
      </c>
      <c r="D77" s="6">
        <v>7</v>
      </c>
    </row>
    <row r="78" spans="1:4" x14ac:dyDescent="0.35">
      <c r="A78" s="5">
        <v>51</v>
      </c>
      <c r="B78" s="6">
        <v>4</v>
      </c>
      <c r="C78" s="6">
        <v>7</v>
      </c>
      <c r="D78" s="6">
        <v>11</v>
      </c>
    </row>
    <row r="79" spans="1:4" x14ac:dyDescent="0.35">
      <c r="A79" s="5">
        <v>52</v>
      </c>
      <c r="B79" s="6">
        <v>3</v>
      </c>
      <c r="C79" s="6">
        <v>2</v>
      </c>
      <c r="D79" s="6">
        <v>5</v>
      </c>
    </row>
    <row r="80" spans="1:4" x14ac:dyDescent="0.35">
      <c r="A80" s="5">
        <v>53</v>
      </c>
      <c r="B80" s="6">
        <v>3</v>
      </c>
      <c r="C80" s="6">
        <v>2</v>
      </c>
      <c r="D80" s="6">
        <v>5</v>
      </c>
    </row>
    <row r="81" spans="1:4" x14ac:dyDescent="0.35">
      <c r="A81" s="5">
        <v>54</v>
      </c>
      <c r="B81" s="6">
        <v>2</v>
      </c>
      <c r="C81" s="6">
        <v>3</v>
      </c>
      <c r="D81" s="6">
        <v>5</v>
      </c>
    </row>
    <row r="82" spans="1:4" x14ac:dyDescent="0.35">
      <c r="A82" s="5">
        <v>55</v>
      </c>
      <c r="B82" s="6">
        <v>2</v>
      </c>
      <c r="C82" s="6">
        <v>1</v>
      </c>
      <c r="D82" s="6">
        <v>3</v>
      </c>
    </row>
    <row r="83" spans="1:4" x14ac:dyDescent="0.35">
      <c r="A83" s="5">
        <v>56</v>
      </c>
      <c r="B83" s="6">
        <v>5</v>
      </c>
      <c r="C83" s="6">
        <v>1</v>
      </c>
      <c r="D83" s="6">
        <v>6</v>
      </c>
    </row>
    <row r="84" spans="1:4" x14ac:dyDescent="0.35">
      <c r="A84" s="5">
        <v>57</v>
      </c>
      <c r="B84" s="6">
        <v>1</v>
      </c>
      <c r="C84" s="6"/>
      <c r="D84" s="6">
        <v>1</v>
      </c>
    </row>
    <row r="85" spans="1:4" x14ac:dyDescent="0.35">
      <c r="A85" s="5">
        <v>58</v>
      </c>
      <c r="B85" s="6">
        <v>2</v>
      </c>
      <c r="C85" s="6">
        <v>1</v>
      </c>
      <c r="D85" s="6">
        <v>3</v>
      </c>
    </row>
    <row r="86" spans="1:4" x14ac:dyDescent="0.35">
      <c r="A86" s="5">
        <v>59</v>
      </c>
      <c r="B86" s="6">
        <v>4</v>
      </c>
      <c r="C86" s="6">
        <v>1</v>
      </c>
      <c r="D86" s="6">
        <v>5</v>
      </c>
    </row>
    <row r="87" spans="1:4" x14ac:dyDescent="0.35">
      <c r="A87" s="5">
        <v>60</v>
      </c>
      <c r="B87" s="6">
        <v>1</v>
      </c>
      <c r="C87" s="6"/>
      <c r="D87" s="6">
        <v>1</v>
      </c>
    </row>
    <row r="88" spans="1:4" x14ac:dyDescent="0.35">
      <c r="A88" s="5">
        <v>61</v>
      </c>
      <c r="B88" s="6">
        <v>1</v>
      </c>
      <c r="C88" s="6">
        <v>2</v>
      </c>
      <c r="D88" s="6">
        <v>3</v>
      </c>
    </row>
    <row r="89" spans="1:4" x14ac:dyDescent="0.35">
      <c r="A89" s="5">
        <v>62</v>
      </c>
      <c r="B89" s="6">
        <v>5</v>
      </c>
      <c r="C89" s="6">
        <v>2</v>
      </c>
      <c r="D89" s="6">
        <v>7</v>
      </c>
    </row>
    <row r="90" spans="1:4" x14ac:dyDescent="0.35">
      <c r="A90" s="5">
        <v>63</v>
      </c>
      <c r="B90" s="6">
        <v>2</v>
      </c>
      <c r="C90" s="6"/>
      <c r="D90" s="6">
        <v>2</v>
      </c>
    </row>
    <row r="91" spans="1:4" x14ac:dyDescent="0.35">
      <c r="A91" s="5">
        <v>64</v>
      </c>
      <c r="B91" s="6">
        <v>1</v>
      </c>
      <c r="C91" s="6">
        <v>1</v>
      </c>
      <c r="D91" s="6">
        <v>2</v>
      </c>
    </row>
    <row r="92" spans="1:4" x14ac:dyDescent="0.35">
      <c r="A92" s="5">
        <v>65</v>
      </c>
      <c r="B92" s="6">
        <v>3</v>
      </c>
      <c r="C92" s="6">
        <v>1</v>
      </c>
      <c r="D92" s="6">
        <v>4</v>
      </c>
    </row>
    <row r="93" spans="1:4" x14ac:dyDescent="0.35">
      <c r="A93" s="5">
        <v>66</v>
      </c>
      <c r="B93" s="6">
        <v>2</v>
      </c>
      <c r="C93" s="6">
        <v>1</v>
      </c>
      <c r="D93" s="6">
        <v>3</v>
      </c>
    </row>
    <row r="94" spans="1:4" x14ac:dyDescent="0.35">
      <c r="A94" s="5">
        <v>68</v>
      </c>
      <c r="B94" s="6">
        <v>1</v>
      </c>
      <c r="C94" s="6"/>
      <c r="D94" s="6">
        <v>1</v>
      </c>
    </row>
    <row r="95" spans="1:4" x14ac:dyDescent="0.35">
      <c r="A95" s="5">
        <v>70</v>
      </c>
      <c r="B95" s="6">
        <v>1</v>
      </c>
      <c r="C95" s="6">
        <v>1</v>
      </c>
      <c r="D95" s="6">
        <v>2</v>
      </c>
    </row>
    <row r="96" spans="1:4" x14ac:dyDescent="0.35">
      <c r="A96" s="5">
        <v>80</v>
      </c>
      <c r="B96" s="6">
        <v>1</v>
      </c>
      <c r="C96" s="6"/>
      <c r="D96" s="6">
        <v>1</v>
      </c>
    </row>
    <row r="97" spans="1:4" x14ac:dyDescent="0.35">
      <c r="A97" s="5">
        <v>89</v>
      </c>
      <c r="B97" s="6">
        <v>1</v>
      </c>
      <c r="C97" s="6"/>
      <c r="D97" s="6">
        <v>1</v>
      </c>
    </row>
    <row r="98" spans="1:4" x14ac:dyDescent="0.35">
      <c r="A98" s="5" t="s">
        <v>42</v>
      </c>
      <c r="B98" s="6">
        <v>152</v>
      </c>
      <c r="C98" s="6">
        <v>148</v>
      </c>
      <c r="D98" s="6">
        <v>300</v>
      </c>
    </row>
    <row r="107" spans="1:4" x14ac:dyDescent="0.35">
      <c r="A107" s="4" t="s">
        <v>48</v>
      </c>
      <c r="B107" s="4" t="s">
        <v>44</v>
      </c>
    </row>
    <row r="108" spans="1:4" x14ac:dyDescent="0.35">
      <c r="A108" s="4" t="s">
        <v>41</v>
      </c>
      <c r="B108" t="s">
        <v>18</v>
      </c>
      <c r="C108" t="s">
        <v>15</v>
      </c>
      <c r="D108" t="s">
        <v>42</v>
      </c>
    </row>
    <row r="109" spans="1:4" x14ac:dyDescent="0.35">
      <c r="A109" s="5" t="s">
        <v>17</v>
      </c>
      <c r="B109" s="6">
        <v>152</v>
      </c>
      <c r="C109" s="6">
        <v>148</v>
      </c>
      <c r="D109" s="6">
        <v>300</v>
      </c>
    </row>
    <row r="110" spans="1:4" x14ac:dyDescent="0.35">
      <c r="A110" s="5" t="s">
        <v>42</v>
      </c>
      <c r="B110" s="6">
        <v>152</v>
      </c>
      <c r="C110" s="6">
        <v>148</v>
      </c>
      <c r="D110" s="6">
        <v>300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34DFF-330A-4F54-889A-65A700774744}">
  <dimension ref="A1:X7"/>
  <sheetViews>
    <sheetView showGridLines="0" tabSelected="1" zoomScale="38" zoomScaleNormal="50" workbookViewId="0">
      <selection activeCell="Z12" sqref="Z12"/>
    </sheetView>
  </sheetViews>
  <sheetFormatPr defaultRowHeight="14.5" x14ac:dyDescent="0.35"/>
  <cols>
    <col min="20" max="20" width="8.6328125" customWidth="1"/>
    <col min="21" max="24" width="8.7265625" hidden="1" customWidth="1"/>
  </cols>
  <sheetData>
    <row r="1" spans="1:24" ht="14.5" customHeight="1" x14ac:dyDescent="0.35">
      <c r="A1" s="7" t="s">
        <v>50</v>
      </c>
      <c r="B1" s="7"/>
      <c r="C1" s="7"/>
      <c r="D1" s="7"/>
      <c r="E1" s="7"/>
      <c r="F1" s="7"/>
      <c r="G1" s="7"/>
      <c r="H1" s="7"/>
      <c r="I1" s="7"/>
      <c r="J1" s="7"/>
      <c r="K1" s="7"/>
      <c r="L1" s="7"/>
      <c r="M1" s="7"/>
      <c r="N1" s="7"/>
      <c r="O1" s="7"/>
      <c r="P1" s="7"/>
      <c r="Q1" s="7"/>
      <c r="R1" s="7"/>
      <c r="S1" s="7"/>
      <c r="T1" s="7"/>
      <c r="U1" s="7"/>
      <c r="V1" s="7"/>
      <c r="W1" s="7"/>
      <c r="X1" s="7"/>
    </row>
    <row r="2" spans="1:24" ht="14.5" customHeight="1" x14ac:dyDescent="0.35">
      <c r="A2" s="7"/>
      <c r="B2" s="7"/>
      <c r="C2" s="7"/>
      <c r="D2" s="7"/>
      <c r="E2" s="7"/>
      <c r="F2" s="7"/>
      <c r="G2" s="7"/>
      <c r="H2" s="7"/>
      <c r="I2" s="7"/>
      <c r="J2" s="7"/>
      <c r="K2" s="7"/>
      <c r="L2" s="7"/>
      <c r="M2" s="7"/>
      <c r="N2" s="7"/>
      <c r="O2" s="7"/>
      <c r="P2" s="7"/>
      <c r="Q2" s="7"/>
      <c r="R2" s="7"/>
      <c r="S2" s="7"/>
      <c r="T2" s="7"/>
      <c r="U2" s="7"/>
      <c r="V2" s="7"/>
      <c r="W2" s="7"/>
      <c r="X2" s="7"/>
    </row>
    <row r="3" spans="1:24" ht="14.5" customHeight="1" x14ac:dyDescent="0.35">
      <c r="A3" s="7"/>
      <c r="B3" s="7"/>
      <c r="C3" s="7"/>
      <c r="D3" s="7"/>
      <c r="E3" s="7"/>
      <c r="F3" s="7"/>
      <c r="G3" s="7"/>
      <c r="H3" s="7"/>
      <c r="I3" s="7"/>
      <c r="J3" s="7"/>
      <c r="K3" s="7"/>
      <c r="L3" s="7"/>
      <c r="M3" s="7"/>
      <c r="N3" s="7"/>
      <c r="O3" s="7"/>
      <c r="P3" s="7"/>
      <c r="Q3" s="7"/>
      <c r="R3" s="7"/>
      <c r="S3" s="7"/>
      <c r="T3" s="7"/>
      <c r="U3" s="7"/>
      <c r="V3" s="7"/>
      <c r="W3" s="7"/>
      <c r="X3" s="7"/>
    </row>
    <row r="4" spans="1:24" ht="14.5" customHeight="1" x14ac:dyDescent="0.35">
      <c r="A4" s="7"/>
      <c r="B4" s="7"/>
      <c r="C4" s="7"/>
      <c r="D4" s="7"/>
      <c r="E4" s="7"/>
      <c r="F4" s="7"/>
      <c r="G4" s="7"/>
      <c r="H4" s="7"/>
      <c r="I4" s="7"/>
      <c r="J4" s="7"/>
      <c r="K4" s="7"/>
      <c r="L4" s="7"/>
      <c r="M4" s="7"/>
      <c r="N4" s="7"/>
      <c r="O4" s="7"/>
      <c r="P4" s="7"/>
      <c r="Q4" s="7"/>
      <c r="R4" s="7"/>
      <c r="S4" s="7"/>
      <c r="T4" s="7"/>
      <c r="U4" s="7"/>
      <c r="V4" s="7"/>
      <c r="W4" s="7"/>
      <c r="X4" s="7"/>
    </row>
    <row r="5" spans="1:24" ht="14.5" customHeight="1" x14ac:dyDescent="0.35">
      <c r="A5" s="7"/>
      <c r="B5" s="7"/>
      <c r="C5" s="7"/>
      <c r="D5" s="7"/>
      <c r="E5" s="7"/>
      <c r="F5" s="7"/>
      <c r="G5" s="7"/>
      <c r="H5" s="7"/>
      <c r="I5" s="7"/>
      <c r="J5" s="7"/>
      <c r="K5" s="7"/>
      <c r="L5" s="7"/>
      <c r="M5" s="7"/>
      <c r="N5" s="7"/>
      <c r="O5" s="7"/>
      <c r="P5" s="7"/>
      <c r="Q5" s="7"/>
      <c r="R5" s="7"/>
      <c r="S5" s="7"/>
      <c r="T5" s="7"/>
      <c r="U5" s="7"/>
      <c r="V5" s="7"/>
      <c r="W5" s="7"/>
      <c r="X5" s="7"/>
    </row>
    <row r="6" spans="1:24" ht="14.5" customHeight="1" x14ac:dyDescent="0.35">
      <c r="A6" s="7"/>
      <c r="B6" s="7"/>
      <c r="C6" s="7"/>
      <c r="D6" s="7"/>
      <c r="E6" s="7"/>
      <c r="F6" s="7"/>
      <c r="G6" s="7"/>
      <c r="H6" s="7"/>
      <c r="I6" s="7"/>
      <c r="J6" s="7"/>
      <c r="K6" s="7"/>
      <c r="L6" s="7"/>
      <c r="M6" s="7"/>
      <c r="N6" s="7"/>
      <c r="O6" s="7"/>
      <c r="P6" s="7"/>
      <c r="Q6" s="7"/>
      <c r="R6" s="7"/>
      <c r="S6" s="7"/>
      <c r="T6" s="7"/>
      <c r="U6" s="7"/>
      <c r="V6" s="7"/>
      <c r="W6" s="7"/>
      <c r="X6" s="7"/>
    </row>
    <row r="7" spans="1:24" ht="14.5" customHeight="1" x14ac:dyDescent="0.35">
      <c r="A7" s="7"/>
      <c r="B7" s="7"/>
      <c r="C7" s="7"/>
      <c r="D7" s="7"/>
      <c r="E7" s="7"/>
      <c r="F7" s="7"/>
      <c r="G7" s="7"/>
      <c r="H7" s="7"/>
      <c r="I7" s="7"/>
      <c r="J7" s="7"/>
      <c r="K7" s="7"/>
      <c r="L7" s="7"/>
      <c r="M7" s="7"/>
      <c r="N7" s="7"/>
      <c r="O7" s="7"/>
      <c r="P7" s="7"/>
      <c r="Q7" s="7"/>
      <c r="R7" s="7"/>
      <c r="S7" s="7"/>
      <c r="T7" s="7"/>
      <c r="U7" s="7"/>
      <c r="V7" s="7"/>
      <c r="W7" s="7"/>
      <c r="X7" s="7"/>
    </row>
  </sheetData>
  <mergeCells count="1">
    <mergeCell ref="A1:X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bike_buyers_Raw_Data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 Doe</dc:creator>
  <cp:lastModifiedBy>Marcell Doe</cp:lastModifiedBy>
  <dcterms:created xsi:type="dcterms:W3CDTF">2022-03-18T02:50:57Z</dcterms:created>
  <dcterms:modified xsi:type="dcterms:W3CDTF">2025-02-22T05:03:32Z</dcterms:modified>
</cp:coreProperties>
</file>